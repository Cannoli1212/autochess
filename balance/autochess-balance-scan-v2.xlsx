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nnoli\Claude Code\autochess\balance\"/>
    </mc:Choice>
  </mc:AlternateContent>
  <xr:revisionPtr revIDLastSave="0" documentId="13_ncr:1_{A57D5B1B-446C-45AF-9EBB-49B8614E586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Overview" sheetId="1" r:id="rId1"/>
    <sheet name="Card Rankings" sheetId="2" r:id="rId2"/>
    <sheet name="Matchup Matrix" sheetId="3" r:id="rId3"/>
    <sheet name="AI Suit Summary" sheetId="4" r:id="rId4"/>
    <sheet name="AI Card Rank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5" l="1"/>
  <c r="J53" i="5"/>
  <c r="G53" i="5"/>
  <c r="K52" i="5"/>
  <c r="J52" i="5"/>
  <c r="G52" i="5"/>
  <c r="K51" i="5"/>
  <c r="J51" i="5"/>
  <c r="G51" i="5"/>
  <c r="K50" i="5"/>
  <c r="J50" i="5"/>
  <c r="G50" i="5"/>
  <c r="K49" i="5"/>
  <c r="J49" i="5"/>
  <c r="G49" i="5"/>
  <c r="K48" i="5"/>
  <c r="J48" i="5"/>
  <c r="G48" i="5"/>
  <c r="K47" i="5"/>
  <c r="J47" i="5"/>
  <c r="G47" i="5"/>
  <c r="K46" i="5"/>
  <c r="J46" i="5"/>
  <c r="G46" i="5"/>
  <c r="K45" i="5"/>
  <c r="J45" i="5"/>
  <c r="G45" i="5"/>
  <c r="K44" i="5"/>
  <c r="J44" i="5"/>
  <c r="G44" i="5"/>
  <c r="K43" i="5"/>
  <c r="J43" i="5"/>
  <c r="G43" i="5"/>
  <c r="K42" i="5"/>
  <c r="J42" i="5"/>
  <c r="G42" i="5"/>
  <c r="K41" i="5"/>
  <c r="J41" i="5"/>
  <c r="G41" i="5"/>
  <c r="K40" i="5"/>
  <c r="J40" i="5"/>
  <c r="G40" i="5"/>
  <c r="K39" i="5"/>
  <c r="J39" i="5"/>
  <c r="G39" i="5"/>
  <c r="K38" i="5"/>
  <c r="J38" i="5"/>
  <c r="G38" i="5"/>
  <c r="K37" i="5"/>
  <c r="J37" i="5"/>
  <c r="G37" i="5"/>
  <c r="K36" i="5"/>
  <c r="J36" i="5"/>
  <c r="G36" i="5"/>
  <c r="K35" i="5"/>
  <c r="J35" i="5"/>
  <c r="G35" i="5"/>
  <c r="K34" i="5"/>
  <c r="J34" i="5"/>
  <c r="G34" i="5"/>
  <c r="K33" i="5"/>
  <c r="J33" i="5"/>
  <c r="G33" i="5"/>
  <c r="K32" i="5"/>
  <c r="J32" i="5"/>
  <c r="G32" i="5"/>
  <c r="K31" i="5"/>
  <c r="J31" i="5"/>
  <c r="G31" i="5"/>
  <c r="K30" i="5"/>
  <c r="J30" i="5"/>
  <c r="G30" i="5"/>
  <c r="K29" i="5"/>
  <c r="J29" i="5"/>
  <c r="G29" i="5"/>
  <c r="K28" i="5"/>
  <c r="J28" i="5"/>
  <c r="G28" i="5"/>
  <c r="K27" i="5"/>
  <c r="J27" i="5"/>
  <c r="G27" i="5"/>
  <c r="K26" i="5"/>
  <c r="J26" i="5"/>
  <c r="G26" i="5"/>
  <c r="K25" i="5"/>
  <c r="J25" i="5"/>
  <c r="G25" i="5"/>
  <c r="K24" i="5"/>
  <c r="J24" i="5"/>
  <c r="G24" i="5"/>
  <c r="K23" i="5"/>
  <c r="J23" i="5"/>
  <c r="G23" i="5"/>
  <c r="K22" i="5"/>
  <c r="J22" i="5"/>
  <c r="G22" i="5"/>
  <c r="K21" i="5"/>
  <c r="J21" i="5"/>
  <c r="G21" i="5"/>
  <c r="K20" i="5"/>
  <c r="J20" i="5"/>
  <c r="G20" i="5"/>
  <c r="K19" i="5"/>
  <c r="J19" i="5"/>
  <c r="G19" i="5"/>
  <c r="K18" i="5"/>
  <c r="J18" i="5"/>
  <c r="G18" i="5"/>
  <c r="K17" i="5"/>
  <c r="J17" i="5"/>
  <c r="G17" i="5"/>
  <c r="K16" i="5"/>
  <c r="J16" i="5"/>
  <c r="G16" i="5"/>
  <c r="K15" i="5"/>
  <c r="J15" i="5"/>
  <c r="G15" i="5"/>
  <c r="K14" i="5"/>
  <c r="J14" i="5"/>
  <c r="G14" i="5"/>
  <c r="K13" i="5"/>
  <c r="J13" i="5"/>
  <c r="G13" i="5"/>
  <c r="K12" i="5"/>
  <c r="J12" i="5"/>
  <c r="G12" i="5"/>
  <c r="K11" i="5"/>
  <c r="J11" i="5"/>
  <c r="G11" i="5"/>
  <c r="K10" i="5"/>
  <c r="J10" i="5"/>
  <c r="G10" i="5"/>
  <c r="K9" i="5"/>
  <c r="J9" i="5"/>
  <c r="G9" i="5"/>
  <c r="K8" i="5"/>
  <c r="J8" i="5"/>
  <c r="G8" i="5"/>
  <c r="K7" i="5"/>
  <c r="J7" i="5"/>
  <c r="G7" i="5"/>
  <c r="K6" i="5"/>
  <c r="J6" i="5"/>
  <c r="G6" i="5"/>
  <c r="K5" i="5"/>
  <c r="J5" i="5"/>
  <c r="G5" i="5"/>
  <c r="K4" i="5"/>
  <c r="J4" i="5"/>
  <c r="G4" i="5"/>
  <c r="K3" i="5"/>
  <c r="J3" i="5"/>
  <c r="G3" i="5"/>
  <c r="K2" i="5"/>
  <c r="J2" i="5"/>
  <c r="G2" i="5"/>
  <c r="H5" i="4"/>
  <c r="G5" i="4"/>
  <c r="D5" i="4"/>
  <c r="H4" i="4"/>
  <c r="G4" i="4"/>
  <c r="D4" i="4"/>
  <c r="H3" i="4"/>
  <c r="G3" i="4"/>
  <c r="D3" i="4"/>
  <c r="H2" i="4"/>
  <c r="G2" i="4"/>
  <c r="D2" i="4"/>
  <c r="L53" i="2"/>
  <c r="K53" i="2"/>
  <c r="G53" i="2"/>
  <c r="L52" i="2"/>
  <c r="K52" i="2"/>
  <c r="G52" i="2"/>
  <c r="L51" i="2"/>
  <c r="K51" i="2"/>
  <c r="G51" i="2"/>
  <c r="L50" i="2"/>
  <c r="K50" i="2"/>
  <c r="G50" i="2"/>
  <c r="L49" i="2"/>
  <c r="K49" i="2"/>
  <c r="G49" i="2"/>
  <c r="L48" i="2"/>
  <c r="K48" i="2"/>
  <c r="G48" i="2"/>
  <c r="L47" i="2"/>
  <c r="K47" i="2"/>
  <c r="G47" i="2"/>
  <c r="L46" i="2"/>
  <c r="K46" i="2"/>
  <c r="G46" i="2"/>
  <c r="L45" i="2"/>
  <c r="K45" i="2"/>
  <c r="G45" i="2"/>
  <c r="L44" i="2"/>
  <c r="K44" i="2"/>
  <c r="G44" i="2"/>
  <c r="L43" i="2"/>
  <c r="K43" i="2"/>
  <c r="G43" i="2"/>
  <c r="L42" i="2"/>
  <c r="K42" i="2"/>
  <c r="G42" i="2"/>
  <c r="L41" i="2"/>
  <c r="K41" i="2"/>
  <c r="G41" i="2"/>
  <c r="L40" i="2"/>
  <c r="K40" i="2"/>
  <c r="G40" i="2"/>
  <c r="L39" i="2"/>
  <c r="K39" i="2"/>
  <c r="G39" i="2"/>
  <c r="L38" i="2"/>
  <c r="K38" i="2"/>
  <c r="G38" i="2"/>
  <c r="L37" i="2"/>
  <c r="K37" i="2"/>
  <c r="G37" i="2"/>
  <c r="L36" i="2"/>
  <c r="K36" i="2"/>
  <c r="G36" i="2"/>
  <c r="L35" i="2"/>
  <c r="K35" i="2"/>
  <c r="G35" i="2"/>
  <c r="L34" i="2"/>
  <c r="K34" i="2"/>
  <c r="G34" i="2"/>
  <c r="L33" i="2"/>
  <c r="K33" i="2"/>
  <c r="G33" i="2"/>
  <c r="L32" i="2"/>
  <c r="K32" i="2"/>
  <c r="G32" i="2"/>
  <c r="L31" i="2"/>
  <c r="K31" i="2"/>
  <c r="G31" i="2"/>
  <c r="L30" i="2"/>
  <c r="K30" i="2"/>
  <c r="G30" i="2"/>
  <c r="L29" i="2"/>
  <c r="K29" i="2"/>
  <c r="G29" i="2"/>
  <c r="L28" i="2"/>
  <c r="K28" i="2"/>
  <c r="G28" i="2"/>
  <c r="L27" i="2"/>
  <c r="K27" i="2"/>
  <c r="G27" i="2"/>
  <c r="L26" i="2"/>
  <c r="K26" i="2"/>
  <c r="G26" i="2"/>
  <c r="L25" i="2"/>
  <c r="K25" i="2"/>
  <c r="G25" i="2"/>
  <c r="L24" i="2"/>
  <c r="K24" i="2"/>
  <c r="G24" i="2"/>
  <c r="L23" i="2"/>
  <c r="K23" i="2"/>
  <c r="G23" i="2"/>
  <c r="L22" i="2"/>
  <c r="K22" i="2"/>
  <c r="G22" i="2"/>
  <c r="L21" i="2"/>
  <c r="K21" i="2"/>
  <c r="G21" i="2"/>
  <c r="L20" i="2"/>
  <c r="K20" i="2"/>
  <c r="G20" i="2"/>
  <c r="L19" i="2"/>
  <c r="K19" i="2"/>
  <c r="G19" i="2"/>
  <c r="L18" i="2"/>
  <c r="K18" i="2"/>
  <c r="G18" i="2"/>
  <c r="L17" i="2"/>
  <c r="K17" i="2"/>
  <c r="G17" i="2"/>
  <c r="L16" i="2"/>
  <c r="K16" i="2"/>
  <c r="G16" i="2"/>
  <c r="L15" i="2"/>
  <c r="K15" i="2"/>
  <c r="G15" i="2"/>
  <c r="L14" i="2"/>
  <c r="K14" i="2"/>
  <c r="G14" i="2"/>
  <c r="L13" i="2"/>
  <c r="K13" i="2"/>
  <c r="G13" i="2"/>
  <c r="L12" i="2"/>
  <c r="K12" i="2"/>
  <c r="G12" i="2"/>
  <c r="L11" i="2"/>
  <c r="K11" i="2"/>
  <c r="G11" i="2"/>
  <c r="L10" i="2"/>
  <c r="K10" i="2"/>
  <c r="G10" i="2"/>
  <c r="L9" i="2"/>
  <c r="K9" i="2"/>
  <c r="G9" i="2"/>
  <c r="L8" i="2"/>
  <c r="K8" i="2"/>
  <c r="G8" i="2"/>
  <c r="L7" i="2"/>
  <c r="K7" i="2"/>
  <c r="G7" i="2"/>
  <c r="L6" i="2"/>
  <c r="K6" i="2"/>
  <c r="G6" i="2"/>
  <c r="L5" i="2"/>
  <c r="K5" i="2"/>
  <c r="G5" i="2"/>
  <c r="L4" i="2"/>
  <c r="K4" i="2"/>
  <c r="G4" i="2"/>
  <c r="L3" i="2"/>
  <c r="K3" i="2"/>
  <c r="G3" i="2"/>
  <c r="L2" i="2"/>
  <c r="K2" i="2"/>
  <c r="G2" i="2"/>
  <c r="C25" i="1"/>
  <c r="C24" i="1"/>
  <c r="C23" i="1"/>
  <c r="C22" i="1"/>
</calcChain>
</file>

<file path=xl/sharedStrings.xml><?xml version="1.0" encoding="utf-8"?>
<sst xmlns="http://schemas.openxmlformats.org/spreadsheetml/2006/main" count="371" uniqueCount="101">
  <si>
    <t>Autochess — Balance Scan</t>
  </si>
  <si>
    <t>1v1 round-robin, every card vs every other card</t>
  </si>
  <si>
    <t>What this measures</t>
  </si>
  <si>
    <t>Raw 1-on-1 card strength. Each of the 52 cards fought every other card 200 games (sides swapped each game to cancel first-move bias) using the real combat engine. Win % = share of its games a card won.</t>
  </si>
  <si>
    <t>Important caveat</t>
  </si>
  <si>
    <t>This is 1v1, so SYNERGIES NEVER FIRE (suit auras need 2+ of a suit; poker spikes need pairs) and ally-dependent abilities (Rally, the Bowers, the Royal Couple) do nothing. Enabler/support cards therefore look weak here BY DESIGN — they are measured for raw solo strength only. A team-based scan is the planned follow-up.</t>
  </si>
  <si>
    <t>Run parameters</t>
  </si>
  <si>
    <t>Games per matchup</t>
  </si>
  <si>
    <t>Cards tested</t>
  </si>
  <si>
    <t>Total matchups</t>
  </si>
  <si>
    <t>52 x 51 / 2 = 1,326</t>
  </si>
  <si>
    <t>Total battles</t>
  </si>
  <si>
    <t>265,200</t>
  </si>
  <si>
    <t>Average win % by suit</t>
  </si>
  <si>
    <t>Suit</t>
  </si>
  <si>
    <t>Avg win %</t>
  </si>
  <si>
    <t>♥ hearts</t>
  </si>
  <si>
    <t>♦ diamonds</t>
  </si>
  <si>
    <t>♣ clubs</t>
  </si>
  <si>
    <t>♠ spades</t>
  </si>
  <si>
    <t>Two scans in this workbook</t>
  </si>
  <si>
    <t>1) CARD RANKINGS + MATCHUP MATRIX — the 1v1 round-robin above (raw solo strength). 2) AI SUIT SUMMARY + AI CARD RANKINGS — full teams drafted and fought by the game's own AI on both sides (40,000 battles across team sizes 2-5), so synergies, poker, and the flop all fire. That's the realistic-play view. NOTE: the AI fields its STRONGEST cards, so high ranks appear ~10,000x and low ranks barely at all — treat low-appearance rows as noise.</t>
  </si>
  <si>
    <t>Generated by the in-game batch simulator (js/sim.js). Re-run any time from the browser console: simCardScan(200) or simAIScan(10000).</t>
  </si>
  <si>
    <t>#</t>
  </si>
  <si>
    <t>Card</t>
  </si>
  <si>
    <t>Rank</t>
  </si>
  <si>
    <t>Games</t>
  </si>
  <si>
    <t>Wins</t>
  </si>
  <si>
    <t>Win %</t>
  </si>
  <si>
    <t>Draws</t>
  </si>
  <si>
    <t>Dmg dealt</t>
  </si>
  <si>
    <t>Dmg taken</t>
  </si>
  <si>
    <t>Avg dealt/game</t>
  </si>
  <si>
    <t>Avg taken/game</t>
  </si>
  <si>
    <t>A♣</t>
  </si>
  <si>
    <t>clubs</t>
  </si>
  <si>
    <t>A♠</t>
  </si>
  <si>
    <t>spades</t>
  </si>
  <si>
    <t>K♣</t>
  </si>
  <si>
    <t>K♠</t>
  </si>
  <si>
    <t>Q♣</t>
  </si>
  <si>
    <t>Q♠</t>
  </si>
  <si>
    <t>J♣</t>
  </si>
  <si>
    <t>10♠</t>
  </si>
  <si>
    <t>A♥</t>
  </si>
  <si>
    <t>hearts</t>
  </si>
  <si>
    <t>A♦</t>
  </si>
  <si>
    <t>diamonds</t>
  </si>
  <si>
    <t>10♣</t>
  </si>
  <si>
    <t>Q♥</t>
  </si>
  <si>
    <t>9♠</t>
  </si>
  <si>
    <t>J♠</t>
  </si>
  <si>
    <t>K♦</t>
  </si>
  <si>
    <t>9♣</t>
  </si>
  <si>
    <t>8♠</t>
  </si>
  <si>
    <t>K♥</t>
  </si>
  <si>
    <t>7♠</t>
  </si>
  <si>
    <t>Q♦</t>
  </si>
  <si>
    <t>8♣</t>
  </si>
  <si>
    <t>J♦</t>
  </si>
  <si>
    <t>7♣</t>
  </si>
  <si>
    <t>9♦</t>
  </si>
  <si>
    <t>5♠</t>
  </si>
  <si>
    <t>4♠</t>
  </si>
  <si>
    <t>6♠</t>
  </si>
  <si>
    <t>10♦</t>
  </si>
  <si>
    <t>9♥</t>
  </si>
  <si>
    <t>J♥</t>
  </si>
  <si>
    <t>10♥</t>
  </si>
  <si>
    <t>5♣</t>
  </si>
  <si>
    <t>8♦</t>
  </si>
  <si>
    <t>6♣</t>
  </si>
  <si>
    <t>8♥</t>
  </si>
  <si>
    <t>4♣</t>
  </si>
  <si>
    <t>7♦</t>
  </si>
  <si>
    <t>7♥</t>
  </si>
  <si>
    <t>5♦</t>
  </si>
  <si>
    <t>5♥</t>
  </si>
  <si>
    <t>6♦</t>
  </si>
  <si>
    <t>6♥</t>
  </si>
  <si>
    <t>4♦</t>
  </si>
  <si>
    <t>3♠</t>
  </si>
  <si>
    <t>3♥</t>
  </si>
  <si>
    <t>3♣</t>
  </si>
  <si>
    <t>3♦</t>
  </si>
  <si>
    <t>2♠</t>
  </si>
  <si>
    <t>4♥</t>
  </si>
  <si>
    <t>2♦</t>
  </si>
  <si>
    <t>2♣</t>
  </si>
  <si>
    <t>2♥</t>
  </si>
  <si>
    <t>row beats col →</t>
  </si>
  <si>
    <t>Unit appearances</t>
  </si>
  <si>
    <t>Total dmg dealt</t>
  </si>
  <si>
    <t>Total dmg taken</t>
  </si>
  <si>
    <t>Avg dealt / unit</t>
  </si>
  <si>
    <t>Avg taken / unit</t>
  </si>
  <si>
    <t>Appearances</t>
  </si>
  <si>
    <t>Total dealt</t>
  </si>
  <si>
    <t>Total taken</t>
  </si>
  <si>
    <t>Avg dealt / app</t>
  </si>
  <si>
    <t>Avg taken /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</si>
</sst>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2A44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i/>
      <sz val="9"/>
      <color rgb="FF555555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textRotation="90"/>
    </xf>
    <xf numFmtId="0" fontId="0" fillId="3" borderId="0" xfId="0" applyFill="1"/>
    <xf numFmtId="9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7"/>
  <sheetViews>
    <sheetView showGridLines="0" topLeftCell="A12" workbookViewId="0">
      <selection activeCell="B31" sqref="B31:F34"/>
    </sheetView>
  </sheetViews>
  <sheetFormatPr defaultRowHeight="15" x14ac:dyDescent="0.25"/>
  <cols>
    <col min="1" max="1" width="3" customWidth="1"/>
    <col min="2" max="2" width="26" customWidth="1"/>
    <col min="3" max="6" width="16" customWidth="1"/>
  </cols>
  <sheetData>
    <row r="2" spans="2:6" ht="20.25" x14ac:dyDescent="0.3">
      <c r="B2" s="1" t="s">
        <v>0</v>
      </c>
    </row>
    <row r="3" spans="2:6" x14ac:dyDescent="0.25">
      <c r="B3" s="2" t="s">
        <v>1</v>
      </c>
    </row>
    <row r="5" spans="2:6" x14ac:dyDescent="0.25">
      <c r="B5" s="3" t="s">
        <v>2</v>
      </c>
    </row>
    <row r="6" spans="2:6" x14ac:dyDescent="0.25">
      <c r="B6" s="20" t="s">
        <v>3</v>
      </c>
      <c r="C6" s="19"/>
      <c r="D6" s="19"/>
      <c r="E6" s="19"/>
      <c r="F6" s="19"/>
    </row>
    <row r="7" spans="2:6" x14ac:dyDescent="0.25">
      <c r="B7" s="19"/>
      <c r="C7" s="19"/>
      <c r="D7" s="19"/>
      <c r="E7" s="19"/>
      <c r="F7" s="19"/>
    </row>
    <row r="8" spans="2:6" ht="12" customHeight="1" x14ac:dyDescent="0.25"/>
    <row r="9" spans="2:6" x14ac:dyDescent="0.25">
      <c r="B9" s="3" t="s">
        <v>4</v>
      </c>
    </row>
    <row r="10" spans="2:6" x14ac:dyDescent="0.25">
      <c r="B10" s="20" t="s">
        <v>5</v>
      </c>
      <c r="C10" s="19"/>
      <c r="D10" s="19"/>
      <c r="E10" s="19"/>
      <c r="F10" s="19"/>
    </row>
    <row r="11" spans="2:6" x14ac:dyDescent="0.25">
      <c r="B11" s="19"/>
      <c r="C11" s="19"/>
      <c r="D11" s="19"/>
      <c r="E11" s="19"/>
      <c r="F11" s="19"/>
    </row>
    <row r="12" spans="2:6" x14ac:dyDescent="0.25">
      <c r="B12" s="19"/>
      <c r="C12" s="19"/>
      <c r="D12" s="19"/>
      <c r="E12" s="19"/>
      <c r="F12" s="19"/>
    </row>
    <row r="14" spans="2:6" x14ac:dyDescent="0.25">
      <c r="B14" s="3" t="s">
        <v>6</v>
      </c>
    </row>
    <row r="15" spans="2:6" x14ac:dyDescent="0.25">
      <c r="B15" s="4" t="s">
        <v>7</v>
      </c>
      <c r="C15" s="5">
        <v>200</v>
      </c>
    </row>
    <row r="16" spans="2:6" x14ac:dyDescent="0.25">
      <c r="B16" s="4" t="s">
        <v>8</v>
      </c>
      <c r="C16" s="5">
        <v>52</v>
      </c>
    </row>
    <row r="17" spans="2:6" x14ac:dyDescent="0.25">
      <c r="B17" s="4" t="s">
        <v>9</v>
      </c>
      <c r="C17" s="5" t="s">
        <v>10</v>
      </c>
    </row>
    <row r="18" spans="2:6" x14ac:dyDescent="0.25">
      <c r="B18" s="4" t="s">
        <v>11</v>
      </c>
      <c r="C18" s="5" t="s">
        <v>12</v>
      </c>
    </row>
    <row r="20" spans="2:6" x14ac:dyDescent="0.25">
      <c r="B20" s="3" t="s">
        <v>13</v>
      </c>
    </row>
    <row r="21" spans="2:6" x14ac:dyDescent="0.25">
      <c r="B21" s="6" t="s">
        <v>14</v>
      </c>
      <c r="C21" s="6" t="s">
        <v>15</v>
      </c>
    </row>
    <row r="22" spans="2:6" x14ac:dyDescent="0.25">
      <c r="B22" s="5" t="s">
        <v>16</v>
      </c>
      <c r="C22" s="7">
        <f>AVERAGEIF('Card Rankings'!$C$2:$C$53,"hearts",'Card Rankings'!$G$2:$G$53)</f>
        <v>0.37998491704374054</v>
      </c>
    </row>
    <row r="23" spans="2:6" x14ac:dyDescent="0.25">
      <c r="B23" s="5" t="s">
        <v>17</v>
      </c>
      <c r="C23" s="7">
        <f>AVERAGEIF('Card Rankings'!$C$2:$C$53,"diamonds",'Card Rankings'!$G$2:$G$53)</f>
        <v>0.41397435897435897</v>
      </c>
    </row>
    <row r="24" spans="2:6" x14ac:dyDescent="0.25">
      <c r="B24" s="5" t="s">
        <v>18</v>
      </c>
      <c r="C24" s="7">
        <f>AVERAGEIF('Card Rankings'!$C$2:$C$53,"clubs",'Card Rankings'!$G$2:$G$53)</f>
        <v>0.57714177978883863</v>
      </c>
    </row>
    <row r="25" spans="2:6" x14ac:dyDescent="0.25">
      <c r="B25" s="5" t="s">
        <v>19</v>
      </c>
      <c r="C25" s="7">
        <f>AVERAGEIF('Card Rankings'!$C$2:$C$53,"spades",'Card Rankings'!$G$2:$G$53)</f>
        <v>0.61843137254901959</v>
      </c>
    </row>
    <row r="30" spans="2:6" ht="25.5" x14ac:dyDescent="0.25">
      <c r="B30" s="3" t="s">
        <v>20</v>
      </c>
    </row>
    <row r="31" spans="2:6" x14ac:dyDescent="0.25">
      <c r="B31" s="20" t="s">
        <v>21</v>
      </c>
      <c r="C31" s="19"/>
      <c r="D31" s="19"/>
      <c r="E31" s="19"/>
      <c r="F31" s="19"/>
    </row>
    <row r="32" spans="2:6" x14ac:dyDescent="0.25">
      <c r="B32" s="19"/>
      <c r="C32" s="19"/>
      <c r="D32" s="19"/>
      <c r="E32" s="19"/>
      <c r="F32" s="19"/>
    </row>
    <row r="33" spans="2:6" x14ac:dyDescent="0.25">
      <c r="B33" s="19"/>
      <c r="C33" s="19"/>
      <c r="D33" s="19"/>
      <c r="E33" s="19"/>
      <c r="F33" s="19"/>
    </row>
    <row r="34" spans="2:6" x14ac:dyDescent="0.25">
      <c r="B34" s="19"/>
      <c r="C34" s="19"/>
      <c r="D34" s="19"/>
      <c r="E34" s="19"/>
      <c r="F34" s="19"/>
    </row>
    <row r="36" spans="2:6" x14ac:dyDescent="0.25">
      <c r="B36" s="18" t="s">
        <v>22</v>
      </c>
      <c r="C36" s="19"/>
      <c r="D36" s="19"/>
      <c r="E36" s="19"/>
      <c r="F36" s="19"/>
    </row>
    <row r="37" spans="2:6" x14ac:dyDescent="0.25">
      <c r="B37" s="19"/>
      <c r="C37" s="19"/>
      <c r="D37" s="19"/>
      <c r="E37" s="19"/>
      <c r="F37" s="19"/>
    </row>
  </sheetData>
  <mergeCells count="4">
    <mergeCell ref="B36:F37"/>
    <mergeCell ref="B10:F12"/>
    <mergeCell ref="B31:F34"/>
    <mergeCell ref="B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8" customWidth="1"/>
    <col min="3" max="3" width="11" customWidth="1"/>
    <col min="4" max="4" width="6" customWidth="1"/>
    <col min="5" max="5" width="9" customWidth="1"/>
    <col min="6" max="6" width="8" customWidth="1"/>
    <col min="7" max="7" width="9" customWidth="1"/>
    <col min="8" max="8" width="8" customWidth="1"/>
    <col min="9" max="10" width="14" customWidth="1"/>
    <col min="11" max="12" width="15" customWidth="1"/>
  </cols>
  <sheetData>
    <row r="1" spans="1:12" x14ac:dyDescent="0.25">
      <c r="A1" s="8" t="s">
        <v>23</v>
      </c>
      <c r="B1" s="8" t="s">
        <v>24</v>
      </c>
      <c r="C1" s="8" t="s">
        <v>14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</row>
    <row r="2" spans="1:12" x14ac:dyDescent="0.25">
      <c r="A2" s="9">
        <v>1</v>
      </c>
      <c r="B2" s="10" t="s">
        <v>34</v>
      </c>
      <c r="C2" s="11" t="s">
        <v>35</v>
      </c>
      <c r="D2" s="9">
        <v>14</v>
      </c>
      <c r="E2" s="9">
        <v>10200</v>
      </c>
      <c r="F2" s="9">
        <v>9446</v>
      </c>
      <c r="G2" s="12">
        <f t="shared" ref="G2:G33" si="0">F2/E2</f>
        <v>0.92607843137254897</v>
      </c>
      <c r="H2" s="9">
        <v>0</v>
      </c>
      <c r="I2" s="13">
        <v>5421660</v>
      </c>
      <c r="J2" s="13">
        <v>1098298</v>
      </c>
      <c r="K2" s="13">
        <f t="shared" ref="K2:K33" si="1">I2/E2</f>
        <v>531.53529411764703</v>
      </c>
      <c r="L2" s="13">
        <f t="shared" ref="L2:L33" si="2">J2/E2</f>
        <v>107.67627450980392</v>
      </c>
    </row>
    <row r="3" spans="1:12" x14ac:dyDescent="0.25">
      <c r="A3" s="9">
        <v>2</v>
      </c>
      <c r="B3" s="10" t="s">
        <v>36</v>
      </c>
      <c r="C3" s="11" t="s">
        <v>37</v>
      </c>
      <c r="D3" s="9">
        <v>14</v>
      </c>
      <c r="E3" s="9">
        <v>10200</v>
      </c>
      <c r="F3" s="9">
        <v>9275</v>
      </c>
      <c r="G3" s="12">
        <f t="shared" si="0"/>
        <v>0.90931372549019607</v>
      </c>
      <c r="H3" s="9">
        <v>0</v>
      </c>
      <c r="I3" s="13">
        <v>7613280</v>
      </c>
      <c r="J3" s="13">
        <v>806827</v>
      </c>
      <c r="K3" s="13">
        <f t="shared" si="1"/>
        <v>746.4</v>
      </c>
      <c r="L3" s="13">
        <f t="shared" si="2"/>
        <v>79.100686274509798</v>
      </c>
    </row>
    <row r="4" spans="1:12" x14ac:dyDescent="0.25">
      <c r="A4" s="9">
        <v>3</v>
      </c>
      <c r="B4" s="10" t="s">
        <v>38</v>
      </c>
      <c r="C4" s="11" t="s">
        <v>35</v>
      </c>
      <c r="D4" s="9">
        <v>13</v>
      </c>
      <c r="E4" s="9">
        <v>10200</v>
      </c>
      <c r="F4" s="9">
        <v>9202</v>
      </c>
      <c r="G4" s="12">
        <f t="shared" si="0"/>
        <v>0.90215686274509799</v>
      </c>
      <c r="H4" s="9">
        <v>0</v>
      </c>
      <c r="I4" s="13">
        <v>5255300</v>
      </c>
      <c r="J4" s="13">
        <v>1263178</v>
      </c>
      <c r="K4" s="13">
        <f t="shared" si="1"/>
        <v>515.22549019607845</v>
      </c>
      <c r="L4" s="13">
        <f t="shared" si="2"/>
        <v>123.84098039215687</v>
      </c>
    </row>
    <row r="5" spans="1:12" x14ac:dyDescent="0.25">
      <c r="A5" s="9">
        <v>4</v>
      </c>
      <c r="B5" s="10" t="s">
        <v>39</v>
      </c>
      <c r="C5" s="11" t="s">
        <v>37</v>
      </c>
      <c r="D5" s="9">
        <v>13</v>
      </c>
      <c r="E5" s="9">
        <v>10200</v>
      </c>
      <c r="F5" s="9">
        <v>8983</v>
      </c>
      <c r="G5" s="12">
        <f t="shared" si="0"/>
        <v>0.88068627450980397</v>
      </c>
      <c r="H5" s="9">
        <v>0</v>
      </c>
      <c r="I5" s="13">
        <v>7298385</v>
      </c>
      <c r="J5" s="13">
        <v>851012</v>
      </c>
      <c r="K5" s="13">
        <f t="shared" si="1"/>
        <v>715.52794117647056</v>
      </c>
      <c r="L5" s="13">
        <f t="shared" si="2"/>
        <v>83.432549019607848</v>
      </c>
    </row>
    <row r="6" spans="1:12" x14ac:dyDescent="0.25">
      <c r="A6" s="9">
        <v>5</v>
      </c>
      <c r="B6" s="10" t="s">
        <v>40</v>
      </c>
      <c r="C6" s="11" t="s">
        <v>35</v>
      </c>
      <c r="D6" s="9">
        <v>12</v>
      </c>
      <c r="E6" s="9">
        <v>10200</v>
      </c>
      <c r="F6" s="9">
        <v>8770</v>
      </c>
      <c r="G6" s="12">
        <f t="shared" si="0"/>
        <v>0.8598039215686275</v>
      </c>
      <c r="H6" s="9">
        <v>0</v>
      </c>
      <c r="I6" s="13">
        <v>5099685</v>
      </c>
      <c r="J6" s="13">
        <v>1428501</v>
      </c>
      <c r="K6" s="13">
        <f t="shared" si="1"/>
        <v>499.96911764705885</v>
      </c>
      <c r="L6" s="13">
        <f t="shared" si="2"/>
        <v>140.04911764705884</v>
      </c>
    </row>
    <row r="7" spans="1:12" x14ac:dyDescent="0.25">
      <c r="A7" s="9">
        <v>6</v>
      </c>
      <c r="B7" s="10" t="s">
        <v>41</v>
      </c>
      <c r="C7" s="11" t="s">
        <v>37</v>
      </c>
      <c r="D7" s="9">
        <v>12</v>
      </c>
      <c r="E7" s="9">
        <v>10200</v>
      </c>
      <c r="F7" s="9">
        <v>8582</v>
      </c>
      <c r="G7" s="12">
        <f t="shared" si="0"/>
        <v>0.8413725490196079</v>
      </c>
      <c r="H7" s="9">
        <v>0</v>
      </c>
      <c r="I7" s="13">
        <v>6707160</v>
      </c>
      <c r="J7" s="13">
        <v>876794</v>
      </c>
      <c r="K7" s="13">
        <f t="shared" si="1"/>
        <v>657.564705882353</v>
      </c>
      <c r="L7" s="13">
        <f t="shared" si="2"/>
        <v>85.960196078431366</v>
      </c>
    </row>
    <row r="8" spans="1:12" x14ac:dyDescent="0.25">
      <c r="A8" s="9">
        <v>7</v>
      </c>
      <c r="B8" s="10" t="s">
        <v>42</v>
      </c>
      <c r="C8" s="11" t="s">
        <v>35</v>
      </c>
      <c r="D8" s="9">
        <v>11</v>
      </c>
      <c r="E8" s="9">
        <v>10200</v>
      </c>
      <c r="F8" s="9">
        <v>8366</v>
      </c>
      <c r="G8" s="12">
        <f t="shared" si="0"/>
        <v>0.82019607843137254</v>
      </c>
      <c r="H8" s="9">
        <v>0</v>
      </c>
      <c r="I8" s="13">
        <v>4913740</v>
      </c>
      <c r="J8" s="13">
        <v>1598101</v>
      </c>
      <c r="K8" s="13">
        <f t="shared" si="1"/>
        <v>481.73921568627452</v>
      </c>
      <c r="L8" s="13">
        <f t="shared" si="2"/>
        <v>156.67656862745099</v>
      </c>
    </row>
    <row r="9" spans="1:12" x14ac:dyDescent="0.25">
      <c r="A9" s="9">
        <v>8</v>
      </c>
      <c r="B9" s="10" t="s">
        <v>43</v>
      </c>
      <c r="C9" s="11" t="s">
        <v>37</v>
      </c>
      <c r="D9" s="9">
        <v>10</v>
      </c>
      <c r="E9" s="9">
        <v>10200</v>
      </c>
      <c r="F9" s="9">
        <v>7970</v>
      </c>
      <c r="G9" s="12">
        <f t="shared" si="0"/>
        <v>0.78137254901960784</v>
      </c>
      <c r="H9" s="9">
        <v>54</v>
      </c>
      <c r="I9" s="13">
        <v>5812890</v>
      </c>
      <c r="J9" s="13">
        <v>978643</v>
      </c>
      <c r="K9" s="13">
        <f t="shared" si="1"/>
        <v>569.89117647058822</v>
      </c>
      <c r="L9" s="13">
        <f t="shared" si="2"/>
        <v>95.945392156862752</v>
      </c>
    </row>
    <row r="10" spans="1:12" x14ac:dyDescent="0.25">
      <c r="A10" s="9">
        <v>9</v>
      </c>
      <c r="B10" s="10" t="s">
        <v>44</v>
      </c>
      <c r="C10" s="11" t="s">
        <v>45</v>
      </c>
      <c r="D10" s="9">
        <v>14</v>
      </c>
      <c r="E10" s="9">
        <v>10200</v>
      </c>
      <c r="F10" s="9">
        <v>7955</v>
      </c>
      <c r="G10" s="12">
        <f t="shared" si="0"/>
        <v>0.77990196078431373</v>
      </c>
      <c r="H10" s="9">
        <v>78</v>
      </c>
      <c r="I10" s="13">
        <v>5726450</v>
      </c>
      <c r="J10" s="13">
        <v>8225962</v>
      </c>
      <c r="K10" s="13">
        <f t="shared" si="1"/>
        <v>561.41666666666663</v>
      </c>
      <c r="L10" s="13">
        <f t="shared" si="2"/>
        <v>806.46686274509807</v>
      </c>
    </row>
    <row r="11" spans="1:12" x14ac:dyDescent="0.25">
      <c r="A11" s="9">
        <v>10</v>
      </c>
      <c r="B11" s="10" t="s">
        <v>46</v>
      </c>
      <c r="C11" s="11" t="s">
        <v>47</v>
      </c>
      <c r="D11" s="9">
        <v>14</v>
      </c>
      <c r="E11" s="9">
        <v>10200</v>
      </c>
      <c r="F11" s="9">
        <v>7765</v>
      </c>
      <c r="G11" s="12">
        <f t="shared" si="0"/>
        <v>0.76127450980392153</v>
      </c>
      <c r="H11" s="9">
        <v>0</v>
      </c>
      <c r="I11" s="13">
        <v>7601640</v>
      </c>
      <c r="J11" s="13">
        <v>9388667</v>
      </c>
      <c r="K11" s="13">
        <f t="shared" si="1"/>
        <v>745.25882352941176</v>
      </c>
      <c r="L11" s="13">
        <f t="shared" si="2"/>
        <v>920.45754901960788</v>
      </c>
    </row>
    <row r="12" spans="1:12" x14ac:dyDescent="0.25">
      <c r="A12" s="9">
        <v>11</v>
      </c>
      <c r="B12" s="10" t="s">
        <v>48</v>
      </c>
      <c r="C12" s="11" t="s">
        <v>35</v>
      </c>
      <c r="D12" s="9">
        <v>10</v>
      </c>
      <c r="E12" s="9">
        <v>10200</v>
      </c>
      <c r="F12" s="9">
        <v>7666</v>
      </c>
      <c r="G12" s="12">
        <f t="shared" si="0"/>
        <v>0.75156862745098041</v>
      </c>
      <c r="H12" s="9">
        <v>0</v>
      </c>
      <c r="I12" s="13">
        <v>4683050</v>
      </c>
      <c r="J12" s="13">
        <v>1785239</v>
      </c>
      <c r="K12" s="13">
        <f t="shared" si="1"/>
        <v>459.12254901960785</v>
      </c>
      <c r="L12" s="13">
        <f t="shared" si="2"/>
        <v>175.02343137254903</v>
      </c>
    </row>
    <row r="13" spans="1:12" x14ac:dyDescent="0.25">
      <c r="A13" s="9">
        <v>12</v>
      </c>
      <c r="B13" s="10" t="s">
        <v>49</v>
      </c>
      <c r="C13" s="11" t="s">
        <v>45</v>
      </c>
      <c r="D13" s="9">
        <v>12</v>
      </c>
      <c r="E13" s="9">
        <v>10200</v>
      </c>
      <c r="F13" s="9">
        <v>7524</v>
      </c>
      <c r="G13" s="12">
        <f t="shared" si="0"/>
        <v>0.73764705882352943</v>
      </c>
      <c r="H13" s="9">
        <v>0</v>
      </c>
      <c r="I13" s="13">
        <v>5453040</v>
      </c>
      <c r="J13" s="13">
        <v>7055232</v>
      </c>
      <c r="K13" s="13">
        <f t="shared" si="1"/>
        <v>534.61176470588236</v>
      </c>
      <c r="L13" s="13">
        <f t="shared" si="2"/>
        <v>691.68941176470594</v>
      </c>
    </row>
    <row r="14" spans="1:12" x14ac:dyDescent="0.25">
      <c r="A14" s="9">
        <v>13</v>
      </c>
      <c r="B14" s="10" t="s">
        <v>50</v>
      </c>
      <c r="C14" s="11" t="s">
        <v>37</v>
      </c>
      <c r="D14" s="9">
        <v>9</v>
      </c>
      <c r="E14" s="9">
        <v>10200</v>
      </c>
      <c r="F14" s="9">
        <v>7517</v>
      </c>
      <c r="G14" s="12">
        <f t="shared" si="0"/>
        <v>0.73696078431372547</v>
      </c>
      <c r="H14" s="9">
        <v>78</v>
      </c>
      <c r="I14" s="13">
        <v>5532315</v>
      </c>
      <c r="J14" s="13">
        <v>1089492</v>
      </c>
      <c r="K14" s="13">
        <f t="shared" si="1"/>
        <v>542.38382352941176</v>
      </c>
      <c r="L14" s="13">
        <f t="shared" si="2"/>
        <v>106.81294117647059</v>
      </c>
    </row>
    <row r="15" spans="1:12" x14ac:dyDescent="0.25">
      <c r="A15" s="9">
        <v>14</v>
      </c>
      <c r="B15" s="10" t="s">
        <v>51</v>
      </c>
      <c r="C15" s="11" t="s">
        <v>37</v>
      </c>
      <c r="D15" s="9">
        <v>11</v>
      </c>
      <c r="E15" s="9">
        <v>10200</v>
      </c>
      <c r="F15" s="9">
        <v>7475</v>
      </c>
      <c r="G15" s="12">
        <f t="shared" si="0"/>
        <v>0.73284313725490191</v>
      </c>
      <c r="H15" s="9">
        <v>0</v>
      </c>
      <c r="I15" s="13">
        <v>5843265</v>
      </c>
      <c r="J15" s="13">
        <v>1239866</v>
      </c>
      <c r="K15" s="13">
        <f t="shared" si="1"/>
        <v>572.86911764705883</v>
      </c>
      <c r="L15" s="13">
        <f t="shared" si="2"/>
        <v>121.55549019607844</v>
      </c>
    </row>
    <row r="16" spans="1:12" x14ac:dyDescent="0.25">
      <c r="A16" s="9">
        <v>15</v>
      </c>
      <c r="B16" s="10" t="s">
        <v>52</v>
      </c>
      <c r="C16" s="11" t="s">
        <v>47</v>
      </c>
      <c r="D16" s="9">
        <v>13</v>
      </c>
      <c r="E16" s="9">
        <v>10200</v>
      </c>
      <c r="F16" s="9">
        <v>7199</v>
      </c>
      <c r="G16" s="12">
        <f t="shared" si="0"/>
        <v>0.70578431372549022</v>
      </c>
      <c r="H16" s="9">
        <v>0</v>
      </c>
      <c r="I16" s="13">
        <v>8508230</v>
      </c>
      <c r="J16" s="13">
        <v>10760295</v>
      </c>
      <c r="K16" s="13">
        <f t="shared" si="1"/>
        <v>834.14019607843136</v>
      </c>
      <c r="L16" s="13">
        <f t="shared" si="2"/>
        <v>1054.9308823529411</v>
      </c>
    </row>
    <row r="17" spans="1:12" x14ac:dyDescent="0.25">
      <c r="A17" s="9">
        <v>16</v>
      </c>
      <c r="B17" s="10" t="s">
        <v>53</v>
      </c>
      <c r="C17" s="11" t="s">
        <v>35</v>
      </c>
      <c r="D17" s="9">
        <v>9</v>
      </c>
      <c r="E17" s="9">
        <v>10200</v>
      </c>
      <c r="F17" s="9">
        <v>7196</v>
      </c>
      <c r="G17" s="12">
        <f t="shared" si="0"/>
        <v>0.70549019607843133</v>
      </c>
      <c r="H17" s="9">
        <v>0</v>
      </c>
      <c r="I17" s="13">
        <v>4593880</v>
      </c>
      <c r="J17" s="13">
        <v>1835220</v>
      </c>
      <c r="K17" s="13">
        <f t="shared" si="1"/>
        <v>450.38039215686274</v>
      </c>
      <c r="L17" s="13">
        <f t="shared" si="2"/>
        <v>179.92352941176472</v>
      </c>
    </row>
    <row r="18" spans="1:12" x14ac:dyDescent="0.25">
      <c r="A18" s="9">
        <v>17</v>
      </c>
      <c r="B18" s="10" t="s">
        <v>54</v>
      </c>
      <c r="C18" s="11" t="s">
        <v>37</v>
      </c>
      <c r="D18" s="9">
        <v>8</v>
      </c>
      <c r="E18" s="9">
        <v>10200</v>
      </c>
      <c r="F18" s="9">
        <v>7023</v>
      </c>
      <c r="G18" s="12">
        <f t="shared" si="0"/>
        <v>0.68852941176470583</v>
      </c>
      <c r="H18" s="9">
        <v>0</v>
      </c>
      <c r="I18" s="13">
        <v>5087745</v>
      </c>
      <c r="J18" s="13">
        <v>1126163</v>
      </c>
      <c r="K18" s="13">
        <f t="shared" si="1"/>
        <v>498.79852941176472</v>
      </c>
      <c r="L18" s="13">
        <f t="shared" si="2"/>
        <v>110.40813725490196</v>
      </c>
    </row>
    <row r="19" spans="1:12" x14ac:dyDescent="0.25">
      <c r="A19" s="9">
        <v>18</v>
      </c>
      <c r="B19" s="10" t="s">
        <v>55</v>
      </c>
      <c r="C19" s="11" t="s">
        <v>45</v>
      </c>
      <c r="D19" s="9">
        <v>13</v>
      </c>
      <c r="E19" s="9">
        <v>10200</v>
      </c>
      <c r="F19" s="9">
        <v>6862</v>
      </c>
      <c r="G19" s="12">
        <f t="shared" si="0"/>
        <v>0.67274509803921567</v>
      </c>
      <c r="H19" s="9">
        <v>0</v>
      </c>
      <c r="I19" s="13">
        <v>5490095</v>
      </c>
      <c r="J19" s="13">
        <v>8582778</v>
      </c>
      <c r="K19" s="13">
        <f t="shared" si="1"/>
        <v>538.24460784313726</v>
      </c>
      <c r="L19" s="13">
        <f t="shared" si="2"/>
        <v>841.44882352941181</v>
      </c>
    </row>
    <row r="20" spans="1:12" x14ac:dyDescent="0.25">
      <c r="A20" s="9">
        <v>19</v>
      </c>
      <c r="B20" s="10" t="s">
        <v>56</v>
      </c>
      <c r="C20" s="11" t="s">
        <v>37</v>
      </c>
      <c r="D20" s="9">
        <v>7</v>
      </c>
      <c r="E20" s="9">
        <v>10200</v>
      </c>
      <c r="F20" s="9">
        <v>6656</v>
      </c>
      <c r="G20" s="12">
        <f t="shared" si="0"/>
        <v>0.65254901960784317</v>
      </c>
      <c r="H20" s="9">
        <v>0</v>
      </c>
      <c r="I20" s="13">
        <v>5187584</v>
      </c>
      <c r="J20" s="13">
        <v>1178315</v>
      </c>
      <c r="K20" s="13">
        <f t="shared" si="1"/>
        <v>508.58666666666664</v>
      </c>
      <c r="L20" s="13">
        <f t="shared" si="2"/>
        <v>115.52107843137254</v>
      </c>
    </row>
    <row r="21" spans="1:12" x14ac:dyDescent="0.25">
      <c r="A21" s="9">
        <v>20</v>
      </c>
      <c r="B21" s="10" t="s">
        <v>57</v>
      </c>
      <c r="C21" s="11" t="s">
        <v>47</v>
      </c>
      <c r="D21" s="9">
        <v>12</v>
      </c>
      <c r="E21" s="9">
        <v>10200</v>
      </c>
      <c r="F21" s="9">
        <v>6297</v>
      </c>
      <c r="G21" s="12">
        <f t="shared" si="0"/>
        <v>0.61735294117647055</v>
      </c>
      <c r="H21" s="9">
        <v>0</v>
      </c>
      <c r="I21" s="13">
        <v>8099715</v>
      </c>
      <c r="J21" s="13">
        <v>10825447</v>
      </c>
      <c r="K21" s="13">
        <f t="shared" si="1"/>
        <v>794.08970588235297</v>
      </c>
      <c r="L21" s="13">
        <f t="shared" si="2"/>
        <v>1061.3183333333334</v>
      </c>
    </row>
    <row r="22" spans="1:12" x14ac:dyDescent="0.25">
      <c r="A22" s="9">
        <v>21</v>
      </c>
      <c r="B22" s="10" t="s">
        <v>58</v>
      </c>
      <c r="C22" s="11" t="s">
        <v>35</v>
      </c>
      <c r="D22" s="9">
        <v>8</v>
      </c>
      <c r="E22" s="9">
        <v>10200</v>
      </c>
      <c r="F22" s="9">
        <v>6256</v>
      </c>
      <c r="G22" s="12">
        <f t="shared" si="0"/>
        <v>0.61333333333333329</v>
      </c>
      <c r="H22" s="9">
        <v>0</v>
      </c>
      <c r="I22" s="13">
        <v>4180820</v>
      </c>
      <c r="J22" s="13">
        <v>1946507</v>
      </c>
      <c r="K22" s="13">
        <f t="shared" si="1"/>
        <v>409.88431372549019</v>
      </c>
      <c r="L22" s="13">
        <f t="shared" si="2"/>
        <v>190.83401960784315</v>
      </c>
    </row>
    <row r="23" spans="1:12" x14ac:dyDescent="0.25">
      <c r="A23" s="9">
        <v>22</v>
      </c>
      <c r="B23" s="10" t="s">
        <v>59</v>
      </c>
      <c r="C23" s="11" t="s">
        <v>47</v>
      </c>
      <c r="D23" s="9">
        <v>11</v>
      </c>
      <c r="E23" s="9">
        <v>10200</v>
      </c>
      <c r="F23" s="9">
        <v>5901</v>
      </c>
      <c r="G23" s="12">
        <f t="shared" si="0"/>
        <v>0.57852941176470585</v>
      </c>
      <c r="H23" s="9">
        <v>0</v>
      </c>
      <c r="I23" s="13">
        <v>7509330</v>
      </c>
      <c r="J23" s="13">
        <v>10553614</v>
      </c>
      <c r="K23" s="13">
        <f t="shared" si="1"/>
        <v>736.2088235294118</v>
      </c>
      <c r="L23" s="13">
        <f t="shared" si="2"/>
        <v>1034.6680392156863</v>
      </c>
    </row>
    <row r="24" spans="1:12" x14ac:dyDescent="0.25">
      <c r="A24" s="9">
        <v>23</v>
      </c>
      <c r="B24" s="10" t="s">
        <v>60</v>
      </c>
      <c r="C24" s="11" t="s">
        <v>35</v>
      </c>
      <c r="D24" s="9">
        <v>7</v>
      </c>
      <c r="E24" s="9">
        <v>10200</v>
      </c>
      <c r="F24" s="9">
        <v>5767</v>
      </c>
      <c r="G24" s="12">
        <f t="shared" si="0"/>
        <v>0.56539215686274513</v>
      </c>
      <c r="H24" s="9">
        <v>143</v>
      </c>
      <c r="I24" s="13">
        <v>4004383</v>
      </c>
      <c r="J24" s="13">
        <v>1835528</v>
      </c>
      <c r="K24" s="13">
        <f t="shared" si="1"/>
        <v>392.58656862745096</v>
      </c>
      <c r="L24" s="13">
        <f t="shared" si="2"/>
        <v>179.95372549019609</v>
      </c>
    </row>
    <row r="25" spans="1:12" x14ac:dyDescent="0.25">
      <c r="A25" s="9">
        <v>24</v>
      </c>
      <c r="B25" s="10" t="s">
        <v>61</v>
      </c>
      <c r="C25" s="11" t="s">
        <v>47</v>
      </c>
      <c r="D25" s="9">
        <v>9</v>
      </c>
      <c r="E25" s="9">
        <v>10200</v>
      </c>
      <c r="F25" s="9">
        <v>5599</v>
      </c>
      <c r="G25" s="12">
        <f t="shared" si="0"/>
        <v>0.54892156862745101</v>
      </c>
      <c r="H25" s="9">
        <v>48</v>
      </c>
      <c r="I25" s="13">
        <v>5068310</v>
      </c>
      <c r="J25" s="13">
        <v>6795599</v>
      </c>
      <c r="K25" s="13">
        <f t="shared" si="1"/>
        <v>496.89313725490194</v>
      </c>
      <c r="L25" s="13">
        <f t="shared" si="2"/>
        <v>666.23519607843139</v>
      </c>
    </row>
    <row r="26" spans="1:12" x14ac:dyDescent="0.25">
      <c r="A26" s="9">
        <v>25</v>
      </c>
      <c r="B26" s="10" t="s">
        <v>62</v>
      </c>
      <c r="C26" s="11" t="s">
        <v>37</v>
      </c>
      <c r="D26" s="9">
        <v>5</v>
      </c>
      <c r="E26" s="9">
        <v>10200</v>
      </c>
      <c r="F26" s="9">
        <v>5297</v>
      </c>
      <c r="G26" s="12">
        <f t="shared" si="0"/>
        <v>0.51931372549019605</v>
      </c>
      <c r="H26" s="9">
        <v>124</v>
      </c>
      <c r="I26" s="13">
        <v>3531825</v>
      </c>
      <c r="J26" s="13">
        <v>1104156</v>
      </c>
      <c r="K26" s="13">
        <f t="shared" si="1"/>
        <v>346.25735294117646</v>
      </c>
      <c r="L26" s="13">
        <f t="shared" si="2"/>
        <v>108.25058823529412</v>
      </c>
    </row>
    <row r="27" spans="1:12" x14ac:dyDescent="0.25">
      <c r="A27" s="9">
        <v>26</v>
      </c>
      <c r="B27" s="10" t="s">
        <v>63</v>
      </c>
      <c r="C27" s="11" t="s">
        <v>37</v>
      </c>
      <c r="D27" s="9">
        <v>4</v>
      </c>
      <c r="E27" s="9">
        <v>10200</v>
      </c>
      <c r="F27" s="9">
        <v>5291</v>
      </c>
      <c r="G27" s="12">
        <f t="shared" si="0"/>
        <v>0.51872549019607839</v>
      </c>
      <c r="H27" s="9">
        <v>100</v>
      </c>
      <c r="I27" s="13">
        <v>4053840</v>
      </c>
      <c r="J27" s="13">
        <v>1093608</v>
      </c>
      <c r="K27" s="13">
        <f t="shared" si="1"/>
        <v>397.43529411764706</v>
      </c>
      <c r="L27" s="13">
        <f t="shared" si="2"/>
        <v>107.2164705882353</v>
      </c>
    </row>
    <row r="28" spans="1:12" x14ac:dyDescent="0.25">
      <c r="A28" s="9">
        <v>27</v>
      </c>
      <c r="B28" s="10" t="s">
        <v>64</v>
      </c>
      <c r="C28" s="11" t="s">
        <v>37</v>
      </c>
      <c r="D28" s="9">
        <v>6</v>
      </c>
      <c r="E28" s="9">
        <v>10200</v>
      </c>
      <c r="F28" s="9">
        <v>5291</v>
      </c>
      <c r="G28" s="12">
        <f t="shared" si="0"/>
        <v>0.51872549019607839</v>
      </c>
      <c r="H28" s="9">
        <v>49</v>
      </c>
      <c r="I28" s="13">
        <v>4012500</v>
      </c>
      <c r="J28" s="13">
        <v>1372889</v>
      </c>
      <c r="K28" s="13">
        <f t="shared" si="1"/>
        <v>393.38235294117646</v>
      </c>
      <c r="L28" s="13">
        <f t="shared" si="2"/>
        <v>134.59696078431372</v>
      </c>
    </row>
    <row r="29" spans="1:12" x14ac:dyDescent="0.25">
      <c r="A29" s="9">
        <v>28</v>
      </c>
      <c r="B29" s="10" t="s">
        <v>65</v>
      </c>
      <c r="C29" s="11" t="s">
        <v>47</v>
      </c>
      <c r="D29" s="9">
        <v>10</v>
      </c>
      <c r="E29" s="9">
        <v>10200</v>
      </c>
      <c r="F29" s="9">
        <v>5256</v>
      </c>
      <c r="G29" s="12">
        <f t="shared" si="0"/>
        <v>0.51529411764705879</v>
      </c>
      <c r="H29" s="9">
        <v>0</v>
      </c>
      <c r="I29" s="13">
        <v>7119050</v>
      </c>
      <c r="J29" s="13">
        <v>10549600</v>
      </c>
      <c r="K29" s="13">
        <f t="shared" si="1"/>
        <v>697.9460784313726</v>
      </c>
      <c r="L29" s="13">
        <f t="shared" si="2"/>
        <v>1034.2745098039215</v>
      </c>
    </row>
    <row r="30" spans="1:12" x14ac:dyDescent="0.25">
      <c r="A30" s="9">
        <v>29</v>
      </c>
      <c r="B30" s="10" t="s">
        <v>66</v>
      </c>
      <c r="C30" s="11" t="s">
        <v>45</v>
      </c>
      <c r="D30" s="9">
        <v>9</v>
      </c>
      <c r="E30" s="9">
        <v>10200</v>
      </c>
      <c r="F30" s="9">
        <v>4969</v>
      </c>
      <c r="G30" s="12">
        <f t="shared" si="0"/>
        <v>0.48715686274509806</v>
      </c>
      <c r="H30" s="9">
        <v>243</v>
      </c>
      <c r="I30" s="13">
        <v>4335820</v>
      </c>
      <c r="J30" s="13">
        <v>7500129</v>
      </c>
      <c r="K30" s="13">
        <f t="shared" si="1"/>
        <v>425.08039215686273</v>
      </c>
      <c r="L30" s="13">
        <f t="shared" si="2"/>
        <v>735.3067647058823</v>
      </c>
    </row>
    <row r="31" spans="1:12" x14ac:dyDescent="0.25">
      <c r="A31" s="9">
        <v>30</v>
      </c>
      <c r="B31" s="10" t="s">
        <v>67</v>
      </c>
      <c r="C31" s="11" t="s">
        <v>45</v>
      </c>
      <c r="D31" s="9">
        <v>11</v>
      </c>
      <c r="E31" s="9">
        <v>10200</v>
      </c>
      <c r="F31" s="9">
        <v>4963</v>
      </c>
      <c r="G31" s="12">
        <f t="shared" si="0"/>
        <v>0.4865686274509804</v>
      </c>
      <c r="H31" s="9">
        <v>100</v>
      </c>
      <c r="I31" s="13">
        <v>5263620</v>
      </c>
      <c r="J31" s="13">
        <v>8873080</v>
      </c>
      <c r="K31" s="13">
        <f t="shared" si="1"/>
        <v>516.0411764705882</v>
      </c>
      <c r="L31" s="13">
        <f t="shared" si="2"/>
        <v>869.9098039215686</v>
      </c>
    </row>
    <row r="32" spans="1:12" x14ac:dyDescent="0.25">
      <c r="A32" s="9">
        <v>31</v>
      </c>
      <c r="B32" s="10" t="s">
        <v>68</v>
      </c>
      <c r="C32" s="11" t="s">
        <v>45</v>
      </c>
      <c r="D32" s="9">
        <v>10</v>
      </c>
      <c r="E32" s="9">
        <v>10200</v>
      </c>
      <c r="F32" s="9">
        <v>4800</v>
      </c>
      <c r="G32" s="12">
        <f t="shared" si="0"/>
        <v>0.47058823529411764</v>
      </c>
      <c r="H32" s="9">
        <v>0</v>
      </c>
      <c r="I32" s="13">
        <v>4169900</v>
      </c>
      <c r="J32" s="13">
        <v>8323307</v>
      </c>
      <c r="K32" s="13">
        <f t="shared" si="1"/>
        <v>408.81372549019608</v>
      </c>
      <c r="L32" s="13">
        <f t="shared" si="2"/>
        <v>816.01049019607842</v>
      </c>
    </row>
    <row r="33" spans="1:12" x14ac:dyDescent="0.25">
      <c r="A33" s="9">
        <v>32</v>
      </c>
      <c r="B33" s="10" t="s">
        <v>69</v>
      </c>
      <c r="C33" s="11" t="s">
        <v>35</v>
      </c>
      <c r="D33" s="9">
        <v>5</v>
      </c>
      <c r="E33" s="9">
        <v>10200</v>
      </c>
      <c r="F33" s="9">
        <v>4348</v>
      </c>
      <c r="G33" s="12">
        <f t="shared" si="0"/>
        <v>0.42627450980392156</v>
      </c>
      <c r="H33" s="9">
        <v>0</v>
      </c>
      <c r="I33" s="13">
        <v>3043270</v>
      </c>
      <c r="J33" s="13">
        <v>1755504</v>
      </c>
      <c r="K33" s="13">
        <f t="shared" si="1"/>
        <v>298.35980392156864</v>
      </c>
      <c r="L33" s="13">
        <f t="shared" si="2"/>
        <v>172.10823529411763</v>
      </c>
    </row>
    <row r="34" spans="1:12" x14ac:dyDescent="0.25">
      <c r="A34" s="9">
        <v>33</v>
      </c>
      <c r="B34" s="10" t="s">
        <v>70</v>
      </c>
      <c r="C34" s="11" t="s">
        <v>47</v>
      </c>
      <c r="D34" s="9">
        <v>8</v>
      </c>
      <c r="E34" s="9">
        <v>10200</v>
      </c>
      <c r="F34" s="9">
        <v>4178</v>
      </c>
      <c r="G34" s="12">
        <f t="shared" ref="G34:G65" si="3">F34/E34</f>
        <v>0.4096078431372549</v>
      </c>
      <c r="H34" s="9">
        <v>0</v>
      </c>
      <c r="I34" s="13">
        <v>5727200</v>
      </c>
      <c r="J34" s="13">
        <v>8968311</v>
      </c>
      <c r="K34" s="13">
        <f t="shared" ref="K34:K53" si="4">I34/E34</f>
        <v>561.49019607843138</v>
      </c>
      <c r="L34" s="13">
        <f t="shared" ref="L34:L53" si="5">J34/E34</f>
        <v>879.24617647058824</v>
      </c>
    </row>
    <row r="35" spans="1:12" x14ac:dyDescent="0.25">
      <c r="A35" s="9">
        <v>34</v>
      </c>
      <c r="B35" s="10" t="s">
        <v>71</v>
      </c>
      <c r="C35" s="11" t="s">
        <v>35</v>
      </c>
      <c r="D35" s="9">
        <v>6</v>
      </c>
      <c r="E35" s="9">
        <v>10200</v>
      </c>
      <c r="F35" s="9">
        <v>4028</v>
      </c>
      <c r="G35" s="12">
        <f t="shared" si="3"/>
        <v>0.39490196078431372</v>
      </c>
      <c r="H35" s="9">
        <v>0</v>
      </c>
      <c r="I35" s="13">
        <v>3042180</v>
      </c>
      <c r="J35" s="13">
        <v>2073185</v>
      </c>
      <c r="K35" s="13">
        <f t="shared" si="4"/>
        <v>298.25294117647059</v>
      </c>
      <c r="L35" s="13">
        <f t="shared" si="5"/>
        <v>203.25343137254902</v>
      </c>
    </row>
    <row r="36" spans="1:12" x14ac:dyDescent="0.25">
      <c r="A36" s="9">
        <v>35</v>
      </c>
      <c r="B36" s="10" t="s">
        <v>72</v>
      </c>
      <c r="C36" s="11" t="s">
        <v>45</v>
      </c>
      <c r="D36" s="9">
        <v>8</v>
      </c>
      <c r="E36" s="9">
        <v>10200</v>
      </c>
      <c r="F36" s="9">
        <v>3952</v>
      </c>
      <c r="G36" s="12">
        <f t="shared" si="3"/>
        <v>0.38745098039215686</v>
      </c>
      <c r="H36" s="9">
        <v>0</v>
      </c>
      <c r="I36" s="13">
        <v>3373645</v>
      </c>
      <c r="J36" s="13">
        <v>7161871</v>
      </c>
      <c r="K36" s="13">
        <f t="shared" si="4"/>
        <v>330.74950980392157</v>
      </c>
      <c r="L36" s="13">
        <f t="shared" si="5"/>
        <v>702.14421568627449</v>
      </c>
    </row>
    <row r="37" spans="1:12" x14ac:dyDescent="0.25">
      <c r="A37" s="9">
        <v>36</v>
      </c>
      <c r="B37" s="10" t="s">
        <v>73</v>
      </c>
      <c r="C37" s="11" t="s">
        <v>35</v>
      </c>
      <c r="D37" s="9">
        <v>4</v>
      </c>
      <c r="E37" s="9">
        <v>10200</v>
      </c>
      <c r="F37" s="9">
        <v>3733</v>
      </c>
      <c r="G37" s="12">
        <f t="shared" si="3"/>
        <v>0.36598039215686273</v>
      </c>
      <c r="H37" s="9">
        <v>155</v>
      </c>
      <c r="I37" s="13">
        <v>3060860</v>
      </c>
      <c r="J37" s="13">
        <v>1753258</v>
      </c>
      <c r="K37" s="13">
        <f t="shared" si="4"/>
        <v>300.08431372549018</v>
      </c>
      <c r="L37" s="13">
        <f t="shared" si="5"/>
        <v>171.88803921568626</v>
      </c>
    </row>
    <row r="38" spans="1:12" x14ac:dyDescent="0.25">
      <c r="A38" s="9">
        <v>37</v>
      </c>
      <c r="B38" s="10" t="s">
        <v>74</v>
      </c>
      <c r="C38" s="11" t="s">
        <v>47</v>
      </c>
      <c r="D38" s="9">
        <v>7</v>
      </c>
      <c r="E38" s="9">
        <v>10200</v>
      </c>
      <c r="F38" s="9">
        <v>3697</v>
      </c>
      <c r="G38" s="12">
        <f t="shared" si="3"/>
        <v>0.36245098039215684</v>
      </c>
      <c r="H38" s="9">
        <v>0</v>
      </c>
      <c r="I38" s="13">
        <v>4618854</v>
      </c>
      <c r="J38" s="13">
        <v>7909932</v>
      </c>
      <c r="K38" s="13">
        <f t="shared" si="4"/>
        <v>452.82882352941175</v>
      </c>
      <c r="L38" s="13">
        <f t="shared" si="5"/>
        <v>775.48352941176472</v>
      </c>
    </row>
    <row r="39" spans="1:12" x14ac:dyDescent="0.25">
      <c r="A39" s="9">
        <v>38</v>
      </c>
      <c r="B39" s="10" t="s">
        <v>75</v>
      </c>
      <c r="C39" s="11" t="s">
        <v>45</v>
      </c>
      <c r="D39" s="9">
        <v>7</v>
      </c>
      <c r="E39" s="9">
        <v>10200</v>
      </c>
      <c r="F39" s="9">
        <v>2907</v>
      </c>
      <c r="G39" s="12">
        <f t="shared" si="3"/>
        <v>0.28499999999999998</v>
      </c>
      <c r="H39" s="9">
        <v>0</v>
      </c>
      <c r="I39" s="13">
        <v>2900336</v>
      </c>
      <c r="J39" s="13">
        <v>6732747</v>
      </c>
      <c r="K39" s="13">
        <f t="shared" si="4"/>
        <v>284.34666666666669</v>
      </c>
      <c r="L39" s="13">
        <f t="shared" si="5"/>
        <v>660.07323529411769</v>
      </c>
    </row>
    <row r="40" spans="1:12" x14ac:dyDescent="0.25">
      <c r="A40" s="9">
        <v>39</v>
      </c>
      <c r="B40" s="10" t="s">
        <v>76</v>
      </c>
      <c r="C40" s="11" t="s">
        <v>47</v>
      </c>
      <c r="D40" s="9">
        <v>5</v>
      </c>
      <c r="E40" s="9">
        <v>10200</v>
      </c>
      <c r="F40" s="9">
        <v>2900</v>
      </c>
      <c r="G40" s="12">
        <f t="shared" si="3"/>
        <v>0.28431372549019607</v>
      </c>
      <c r="H40" s="9">
        <v>0</v>
      </c>
      <c r="I40" s="13">
        <v>2763740</v>
      </c>
      <c r="J40" s="13">
        <v>5400274</v>
      </c>
      <c r="K40" s="13">
        <f t="shared" si="4"/>
        <v>270.9549019607843</v>
      </c>
      <c r="L40" s="13">
        <f t="shared" si="5"/>
        <v>529.43862745098045</v>
      </c>
    </row>
    <row r="41" spans="1:12" x14ac:dyDescent="0.25">
      <c r="A41" s="9">
        <v>40</v>
      </c>
      <c r="B41" s="10" t="s">
        <v>77</v>
      </c>
      <c r="C41" s="11" t="s">
        <v>45</v>
      </c>
      <c r="D41" s="9">
        <v>5</v>
      </c>
      <c r="E41" s="9">
        <v>10200</v>
      </c>
      <c r="F41" s="9">
        <v>2392</v>
      </c>
      <c r="G41" s="12">
        <f t="shared" si="3"/>
        <v>0.23450980392156862</v>
      </c>
      <c r="H41" s="9">
        <v>21</v>
      </c>
      <c r="I41" s="13">
        <v>2099615</v>
      </c>
      <c r="J41" s="13">
        <v>5397130</v>
      </c>
      <c r="K41" s="13">
        <f t="shared" si="4"/>
        <v>205.84460784313725</v>
      </c>
      <c r="L41" s="13">
        <f t="shared" si="5"/>
        <v>529.13039215686274</v>
      </c>
    </row>
    <row r="42" spans="1:12" x14ac:dyDescent="0.25">
      <c r="A42" s="9">
        <v>41</v>
      </c>
      <c r="B42" s="10" t="s">
        <v>78</v>
      </c>
      <c r="C42" s="11" t="s">
        <v>47</v>
      </c>
      <c r="D42" s="9">
        <v>6</v>
      </c>
      <c r="E42" s="9">
        <v>10200</v>
      </c>
      <c r="F42" s="9">
        <v>2361</v>
      </c>
      <c r="G42" s="12">
        <f t="shared" si="3"/>
        <v>0.23147058823529412</v>
      </c>
      <c r="H42" s="9">
        <v>0</v>
      </c>
      <c r="I42" s="13">
        <v>2291100</v>
      </c>
      <c r="J42" s="13">
        <v>5819197</v>
      </c>
      <c r="K42" s="13">
        <f t="shared" si="4"/>
        <v>224.61764705882354</v>
      </c>
      <c r="L42" s="13">
        <f t="shared" si="5"/>
        <v>570.50950980392156</v>
      </c>
    </row>
    <row r="43" spans="1:12" x14ac:dyDescent="0.25">
      <c r="A43" s="9">
        <v>42</v>
      </c>
      <c r="B43" s="10" t="s">
        <v>79</v>
      </c>
      <c r="C43" s="11" t="s">
        <v>45</v>
      </c>
      <c r="D43" s="9">
        <v>6</v>
      </c>
      <c r="E43" s="9">
        <v>10200</v>
      </c>
      <c r="F43" s="9">
        <v>1926</v>
      </c>
      <c r="G43" s="12">
        <f t="shared" si="3"/>
        <v>0.1888235294117647</v>
      </c>
      <c r="H43" s="9">
        <v>0</v>
      </c>
      <c r="I43" s="13">
        <v>1855530</v>
      </c>
      <c r="J43" s="13">
        <v>6269253</v>
      </c>
      <c r="K43" s="13">
        <f t="shared" si="4"/>
        <v>181.91470588235293</v>
      </c>
      <c r="L43" s="13">
        <f t="shared" si="5"/>
        <v>614.63264705882352</v>
      </c>
    </row>
    <row r="44" spans="1:12" x14ac:dyDescent="0.25">
      <c r="A44" s="9">
        <v>43</v>
      </c>
      <c r="B44" s="10" t="s">
        <v>80</v>
      </c>
      <c r="C44" s="11" t="s">
        <v>47</v>
      </c>
      <c r="D44" s="9">
        <v>4</v>
      </c>
      <c r="E44" s="9">
        <v>10200</v>
      </c>
      <c r="F44" s="9">
        <v>1888</v>
      </c>
      <c r="G44" s="12">
        <f t="shared" si="3"/>
        <v>0.18509803921568627</v>
      </c>
      <c r="H44" s="9">
        <v>0</v>
      </c>
      <c r="I44" s="13">
        <v>2809240</v>
      </c>
      <c r="J44" s="13">
        <v>5296483</v>
      </c>
      <c r="K44" s="13">
        <f t="shared" si="4"/>
        <v>275.41568627450982</v>
      </c>
      <c r="L44" s="13">
        <f t="shared" si="5"/>
        <v>519.26303921568626</v>
      </c>
    </row>
    <row r="45" spans="1:12" x14ac:dyDescent="0.25">
      <c r="A45" s="9">
        <v>44</v>
      </c>
      <c r="B45" s="10" t="s">
        <v>81</v>
      </c>
      <c r="C45" s="11" t="s">
        <v>37</v>
      </c>
      <c r="D45" s="9">
        <v>3</v>
      </c>
      <c r="E45" s="9">
        <v>10200</v>
      </c>
      <c r="F45" s="9">
        <v>1797</v>
      </c>
      <c r="G45" s="12">
        <f t="shared" si="3"/>
        <v>0.1761764705882353</v>
      </c>
      <c r="H45" s="9">
        <v>471</v>
      </c>
      <c r="I45" s="13">
        <v>1992750</v>
      </c>
      <c r="J45" s="13">
        <v>1674887</v>
      </c>
      <c r="K45" s="13">
        <f t="shared" si="4"/>
        <v>195.36764705882354</v>
      </c>
      <c r="L45" s="13">
        <f t="shared" si="5"/>
        <v>164.20460784313727</v>
      </c>
    </row>
    <row r="46" spans="1:12" x14ac:dyDescent="0.25">
      <c r="A46" s="9">
        <v>45</v>
      </c>
      <c r="B46" s="10" t="s">
        <v>82</v>
      </c>
      <c r="C46" s="11" t="s">
        <v>45</v>
      </c>
      <c r="D46" s="9">
        <v>3</v>
      </c>
      <c r="E46" s="9">
        <v>10200</v>
      </c>
      <c r="F46" s="9">
        <v>1356</v>
      </c>
      <c r="G46" s="12">
        <f t="shared" si="3"/>
        <v>0.13294117647058823</v>
      </c>
      <c r="H46" s="9">
        <v>44</v>
      </c>
      <c r="I46" s="13">
        <v>1335990</v>
      </c>
      <c r="J46" s="13">
        <v>3794230</v>
      </c>
      <c r="K46" s="13">
        <f t="shared" si="4"/>
        <v>130.97941176470587</v>
      </c>
      <c r="L46" s="13">
        <f t="shared" si="5"/>
        <v>371.98333333333335</v>
      </c>
    </row>
    <row r="47" spans="1:12" x14ac:dyDescent="0.25">
      <c r="A47" s="9">
        <v>46</v>
      </c>
      <c r="B47" s="10" t="s">
        <v>83</v>
      </c>
      <c r="C47" s="11" t="s">
        <v>35</v>
      </c>
      <c r="D47" s="9">
        <v>3</v>
      </c>
      <c r="E47" s="9">
        <v>10200</v>
      </c>
      <c r="F47" s="9">
        <v>1351</v>
      </c>
      <c r="G47" s="12">
        <f t="shared" si="3"/>
        <v>0.13245098039215686</v>
      </c>
      <c r="H47" s="9">
        <v>400</v>
      </c>
      <c r="I47" s="13">
        <v>1540200</v>
      </c>
      <c r="J47" s="13">
        <v>1941423</v>
      </c>
      <c r="K47" s="13">
        <f t="shared" si="4"/>
        <v>151</v>
      </c>
      <c r="L47" s="13">
        <f t="shared" si="5"/>
        <v>190.33558823529413</v>
      </c>
    </row>
    <row r="48" spans="1:12" x14ac:dyDescent="0.25">
      <c r="A48" s="9">
        <v>47</v>
      </c>
      <c r="B48" s="10" t="s">
        <v>84</v>
      </c>
      <c r="C48" s="11" t="s">
        <v>47</v>
      </c>
      <c r="D48" s="9">
        <v>3</v>
      </c>
      <c r="E48" s="9">
        <v>10200</v>
      </c>
      <c r="F48" s="9">
        <v>1252</v>
      </c>
      <c r="G48" s="12">
        <f t="shared" si="3"/>
        <v>0.12274509803921568</v>
      </c>
      <c r="H48" s="9">
        <v>439</v>
      </c>
      <c r="I48" s="13">
        <v>1253280</v>
      </c>
      <c r="J48" s="13">
        <v>3046005</v>
      </c>
      <c r="K48" s="13">
        <f t="shared" si="4"/>
        <v>122.87058823529412</v>
      </c>
      <c r="L48" s="13">
        <f t="shared" si="5"/>
        <v>298.62794117647059</v>
      </c>
    </row>
    <row r="49" spans="1:12" x14ac:dyDescent="0.25">
      <c r="A49" s="9">
        <v>48</v>
      </c>
      <c r="B49" s="10" t="s">
        <v>85</v>
      </c>
      <c r="C49" s="11" t="s">
        <v>37</v>
      </c>
      <c r="D49" s="9">
        <v>2</v>
      </c>
      <c r="E49" s="9">
        <v>10200</v>
      </c>
      <c r="F49" s="9">
        <v>847</v>
      </c>
      <c r="G49" s="12">
        <f t="shared" si="3"/>
        <v>8.3039215686274509E-2</v>
      </c>
      <c r="H49" s="9">
        <v>148</v>
      </c>
      <c r="I49" s="13">
        <v>1100796</v>
      </c>
      <c r="J49" s="13">
        <v>1750616</v>
      </c>
      <c r="K49" s="13">
        <f t="shared" si="4"/>
        <v>107.92117647058824</v>
      </c>
      <c r="L49" s="13">
        <f t="shared" si="5"/>
        <v>171.62901960784313</v>
      </c>
    </row>
    <row r="50" spans="1:12" x14ac:dyDescent="0.25">
      <c r="A50" s="9">
        <v>49</v>
      </c>
      <c r="B50" s="10" t="s">
        <v>86</v>
      </c>
      <c r="C50" s="11" t="s">
        <v>45</v>
      </c>
      <c r="D50" s="9">
        <v>4</v>
      </c>
      <c r="E50" s="9">
        <v>10200</v>
      </c>
      <c r="F50" s="9">
        <v>658</v>
      </c>
      <c r="G50" s="12">
        <f t="shared" si="3"/>
        <v>6.4509803921568631E-2</v>
      </c>
      <c r="H50" s="9">
        <v>81</v>
      </c>
      <c r="I50" s="13">
        <v>1479000</v>
      </c>
      <c r="J50" s="13">
        <v>4913530</v>
      </c>
      <c r="K50" s="13">
        <f t="shared" si="4"/>
        <v>145</v>
      </c>
      <c r="L50" s="13">
        <f t="shared" si="5"/>
        <v>481.71862745098036</v>
      </c>
    </row>
    <row r="51" spans="1:12" x14ac:dyDescent="0.25">
      <c r="A51" s="9">
        <v>50</v>
      </c>
      <c r="B51" s="10" t="s">
        <v>87</v>
      </c>
      <c r="C51" s="11" t="s">
        <v>47</v>
      </c>
      <c r="D51" s="9">
        <v>2</v>
      </c>
      <c r="E51" s="9">
        <v>10200</v>
      </c>
      <c r="F51" s="9">
        <v>600</v>
      </c>
      <c r="G51" s="12">
        <f t="shared" si="3"/>
        <v>5.8823529411764705E-2</v>
      </c>
      <c r="H51" s="9">
        <v>0</v>
      </c>
      <c r="I51" s="13">
        <v>446560</v>
      </c>
      <c r="J51" s="13">
        <v>2543720</v>
      </c>
      <c r="K51" s="13">
        <f t="shared" si="4"/>
        <v>43.780392156862746</v>
      </c>
      <c r="L51" s="13">
        <f t="shared" si="5"/>
        <v>249.38431372549019</v>
      </c>
    </row>
    <row r="52" spans="1:12" x14ac:dyDescent="0.25">
      <c r="A52" s="9">
        <v>51</v>
      </c>
      <c r="B52" s="10" t="s">
        <v>88</v>
      </c>
      <c r="C52" s="11" t="s">
        <v>35</v>
      </c>
      <c r="D52" s="9">
        <v>2</v>
      </c>
      <c r="E52" s="9">
        <v>10200</v>
      </c>
      <c r="F52" s="9">
        <v>400</v>
      </c>
      <c r="G52" s="12">
        <f t="shared" si="3"/>
        <v>3.9215686274509803E-2</v>
      </c>
      <c r="H52" s="9">
        <v>0</v>
      </c>
      <c r="I52" s="13">
        <v>731936</v>
      </c>
      <c r="J52" s="13">
        <v>1858301</v>
      </c>
      <c r="K52" s="13">
        <f t="shared" si="4"/>
        <v>71.758431372549026</v>
      </c>
      <c r="L52" s="13">
        <f t="shared" si="5"/>
        <v>182.18637254901961</v>
      </c>
    </row>
    <row r="53" spans="1:12" x14ac:dyDescent="0.25">
      <c r="A53" s="9">
        <v>52</v>
      </c>
      <c r="B53" s="10" t="s">
        <v>89</v>
      </c>
      <c r="C53" s="11" t="s">
        <v>45</v>
      </c>
      <c r="D53" s="9">
        <v>2</v>
      </c>
      <c r="E53" s="9">
        <v>10200</v>
      </c>
      <c r="F53" s="9">
        <v>122</v>
      </c>
      <c r="G53" s="12">
        <f t="shared" si="3"/>
        <v>1.196078431372549E-2</v>
      </c>
      <c r="H53" s="9">
        <v>0</v>
      </c>
      <c r="I53" s="13">
        <v>328056</v>
      </c>
      <c r="J53" s="13">
        <v>2970741</v>
      </c>
      <c r="K53" s="13">
        <f t="shared" si="4"/>
        <v>32.162352941176472</v>
      </c>
      <c r="L53" s="13">
        <f t="shared" si="5"/>
        <v>291.24911764705882</v>
      </c>
    </row>
  </sheetData>
  <conditionalFormatting sqref="G2:G5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5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5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53" width="4.28515625" customWidth="1"/>
  </cols>
  <sheetData>
    <row r="1" spans="1:53" ht="45.95" customHeight="1" x14ac:dyDescent="0.25">
      <c r="A1" s="14" t="s">
        <v>90</v>
      </c>
      <c r="B1" s="15" t="s">
        <v>89</v>
      </c>
      <c r="C1" s="15" t="s">
        <v>82</v>
      </c>
      <c r="D1" s="15" t="s">
        <v>86</v>
      </c>
      <c r="E1" s="15" t="s">
        <v>77</v>
      </c>
      <c r="F1" s="15" t="s">
        <v>79</v>
      </c>
      <c r="G1" s="15" t="s">
        <v>75</v>
      </c>
      <c r="H1" s="15" t="s">
        <v>72</v>
      </c>
      <c r="I1" s="15" t="s">
        <v>66</v>
      </c>
      <c r="J1" s="15" t="s">
        <v>68</v>
      </c>
      <c r="K1" s="15" t="s">
        <v>67</v>
      </c>
      <c r="L1" s="15" t="s">
        <v>49</v>
      </c>
      <c r="M1" s="15" t="s">
        <v>55</v>
      </c>
      <c r="N1" s="15" t="s">
        <v>44</v>
      </c>
      <c r="O1" s="15" t="s">
        <v>87</v>
      </c>
      <c r="P1" s="15" t="s">
        <v>84</v>
      </c>
      <c r="Q1" s="15" t="s">
        <v>80</v>
      </c>
      <c r="R1" s="15" t="s">
        <v>76</v>
      </c>
      <c r="S1" s="15" t="s">
        <v>78</v>
      </c>
      <c r="T1" s="15" t="s">
        <v>74</v>
      </c>
      <c r="U1" s="15" t="s">
        <v>70</v>
      </c>
      <c r="V1" s="15" t="s">
        <v>61</v>
      </c>
      <c r="W1" s="15" t="s">
        <v>65</v>
      </c>
      <c r="X1" s="15" t="s">
        <v>59</v>
      </c>
      <c r="Y1" s="15" t="s">
        <v>57</v>
      </c>
      <c r="Z1" s="15" t="s">
        <v>52</v>
      </c>
      <c r="AA1" s="15" t="s">
        <v>46</v>
      </c>
      <c r="AB1" s="15" t="s">
        <v>88</v>
      </c>
      <c r="AC1" s="15" t="s">
        <v>83</v>
      </c>
      <c r="AD1" s="15" t="s">
        <v>73</v>
      </c>
      <c r="AE1" s="15" t="s">
        <v>69</v>
      </c>
      <c r="AF1" s="15" t="s">
        <v>71</v>
      </c>
      <c r="AG1" s="15" t="s">
        <v>60</v>
      </c>
      <c r="AH1" s="15" t="s">
        <v>58</v>
      </c>
      <c r="AI1" s="15" t="s">
        <v>53</v>
      </c>
      <c r="AJ1" s="15" t="s">
        <v>48</v>
      </c>
      <c r="AK1" s="15" t="s">
        <v>42</v>
      </c>
      <c r="AL1" s="15" t="s">
        <v>40</v>
      </c>
      <c r="AM1" s="15" t="s">
        <v>38</v>
      </c>
      <c r="AN1" s="15" t="s">
        <v>34</v>
      </c>
      <c r="AO1" s="15" t="s">
        <v>85</v>
      </c>
      <c r="AP1" s="15" t="s">
        <v>81</v>
      </c>
      <c r="AQ1" s="15" t="s">
        <v>63</v>
      </c>
      <c r="AR1" s="15" t="s">
        <v>62</v>
      </c>
      <c r="AS1" s="15" t="s">
        <v>64</v>
      </c>
      <c r="AT1" s="15" t="s">
        <v>56</v>
      </c>
      <c r="AU1" s="15" t="s">
        <v>54</v>
      </c>
      <c r="AV1" s="15" t="s">
        <v>50</v>
      </c>
      <c r="AW1" s="15" t="s">
        <v>43</v>
      </c>
      <c r="AX1" s="15" t="s">
        <v>51</v>
      </c>
      <c r="AY1" s="15" t="s">
        <v>41</v>
      </c>
      <c r="AZ1" s="15" t="s">
        <v>39</v>
      </c>
      <c r="BA1" s="15" t="s">
        <v>36</v>
      </c>
    </row>
    <row r="2" spans="1:53" x14ac:dyDescent="0.25">
      <c r="A2" s="6" t="s">
        <v>89</v>
      </c>
      <c r="B2" s="16"/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0.5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0.11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</row>
    <row r="3" spans="1:53" x14ac:dyDescent="0.25">
      <c r="A3" s="6" t="s">
        <v>82</v>
      </c>
      <c r="B3" s="17">
        <v>1</v>
      </c>
      <c r="C3" s="16"/>
      <c r="D3" s="17">
        <v>1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1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1</v>
      </c>
      <c r="AC3" s="17">
        <v>1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1</v>
      </c>
      <c r="AP3" s="17">
        <v>0.78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</row>
    <row r="4" spans="1:53" x14ac:dyDescent="0.25">
      <c r="A4" s="6" t="s">
        <v>86</v>
      </c>
      <c r="B4" s="17">
        <v>1</v>
      </c>
      <c r="C4" s="17">
        <v>0</v>
      </c>
      <c r="D4" s="16"/>
      <c r="E4" s="17">
        <v>0.13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1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1</v>
      </c>
      <c r="AP4" s="17">
        <v>0.17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</row>
    <row r="5" spans="1:53" x14ac:dyDescent="0.25">
      <c r="A5" s="6" t="s">
        <v>77</v>
      </c>
      <c r="B5" s="17">
        <v>1</v>
      </c>
      <c r="C5" s="17">
        <v>1</v>
      </c>
      <c r="D5" s="17">
        <v>0.88</v>
      </c>
      <c r="E5" s="16"/>
      <c r="F5" s="17">
        <v>0.52</v>
      </c>
      <c r="G5" s="17">
        <v>0.06</v>
      </c>
      <c r="H5" s="17">
        <v>0.01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1</v>
      </c>
      <c r="P5" s="17">
        <v>1</v>
      </c>
      <c r="Q5" s="17">
        <v>0.19</v>
      </c>
      <c r="R5" s="17">
        <v>0.1</v>
      </c>
      <c r="S5" s="17">
        <v>0.06</v>
      </c>
      <c r="T5" s="17">
        <v>0.02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1</v>
      </c>
      <c r="AC5" s="17">
        <v>1</v>
      </c>
      <c r="AD5" s="17">
        <v>0.38</v>
      </c>
      <c r="AE5" s="17">
        <v>0.39</v>
      </c>
      <c r="AF5" s="17">
        <v>0.16</v>
      </c>
      <c r="AG5" s="17">
        <v>0.02</v>
      </c>
      <c r="AH5" s="17">
        <v>0.02</v>
      </c>
      <c r="AI5" s="17">
        <v>0.01</v>
      </c>
      <c r="AJ5" s="17">
        <v>0.01</v>
      </c>
      <c r="AK5" s="17">
        <v>0</v>
      </c>
      <c r="AL5" s="17">
        <v>0</v>
      </c>
      <c r="AM5" s="17">
        <v>0</v>
      </c>
      <c r="AN5" s="17">
        <v>0</v>
      </c>
      <c r="AO5" s="17">
        <v>1</v>
      </c>
      <c r="AP5" s="17">
        <v>0.83</v>
      </c>
      <c r="AQ5" s="17">
        <v>0.42</v>
      </c>
      <c r="AR5" s="17">
        <v>0.45</v>
      </c>
      <c r="AS5" s="17">
        <v>0.19</v>
      </c>
      <c r="AT5" s="17">
        <v>0.14000000000000001</v>
      </c>
      <c r="AU5" s="17">
        <v>7.0000000000000007E-2</v>
      </c>
      <c r="AV5" s="17">
        <v>0.03</v>
      </c>
      <c r="AW5" s="17">
        <v>0.04</v>
      </c>
      <c r="AX5" s="17">
        <v>0.01</v>
      </c>
      <c r="AY5" s="17">
        <v>0</v>
      </c>
      <c r="AZ5" s="17">
        <v>0.01</v>
      </c>
      <c r="BA5" s="17">
        <v>0.02</v>
      </c>
    </row>
    <row r="6" spans="1:53" x14ac:dyDescent="0.25">
      <c r="A6" s="6" t="s">
        <v>79</v>
      </c>
      <c r="B6" s="17">
        <v>1</v>
      </c>
      <c r="C6" s="17">
        <v>1</v>
      </c>
      <c r="D6" s="17">
        <v>1</v>
      </c>
      <c r="E6" s="17">
        <v>0.49</v>
      </c>
      <c r="F6" s="16"/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1</v>
      </c>
      <c r="P6" s="17">
        <v>1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1</v>
      </c>
      <c r="AC6" s="17">
        <v>1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1</v>
      </c>
      <c r="AP6" s="17">
        <v>1</v>
      </c>
      <c r="AQ6" s="17">
        <v>0</v>
      </c>
      <c r="AR6" s="17">
        <v>0.03</v>
      </c>
      <c r="AS6" s="17">
        <v>0.12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</row>
    <row r="7" spans="1:53" x14ac:dyDescent="0.25">
      <c r="A7" s="6" t="s">
        <v>75</v>
      </c>
      <c r="B7" s="17">
        <v>1</v>
      </c>
      <c r="C7" s="17">
        <v>1</v>
      </c>
      <c r="D7" s="17">
        <v>1</v>
      </c>
      <c r="E7" s="17">
        <v>0.95</v>
      </c>
      <c r="F7" s="17">
        <v>1</v>
      </c>
      <c r="G7" s="16"/>
      <c r="H7" s="17">
        <v>0.05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1</v>
      </c>
      <c r="P7" s="17">
        <v>1</v>
      </c>
      <c r="Q7" s="17">
        <v>0.2</v>
      </c>
      <c r="R7" s="17">
        <v>0.34</v>
      </c>
      <c r="S7" s="17">
        <v>0.39</v>
      </c>
      <c r="T7" s="17">
        <v>0.01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1</v>
      </c>
      <c r="AC7" s="17">
        <v>1</v>
      </c>
      <c r="AD7" s="17">
        <v>0.54</v>
      </c>
      <c r="AE7" s="17">
        <v>0.65</v>
      </c>
      <c r="AF7" s="17">
        <v>0.48</v>
      </c>
      <c r="AG7" s="17">
        <v>7.0000000000000007E-2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1</v>
      </c>
      <c r="AP7" s="17">
        <v>1</v>
      </c>
      <c r="AQ7" s="17">
        <v>0.17</v>
      </c>
      <c r="AR7" s="17">
        <v>0.45</v>
      </c>
      <c r="AS7" s="17">
        <v>0.23</v>
      </c>
      <c r="AT7" s="17">
        <v>0.04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</row>
    <row r="8" spans="1:53" x14ac:dyDescent="0.25">
      <c r="A8" s="6" t="s">
        <v>72</v>
      </c>
      <c r="B8" s="17">
        <v>1</v>
      </c>
      <c r="C8" s="17">
        <v>1</v>
      </c>
      <c r="D8" s="17">
        <v>1</v>
      </c>
      <c r="E8" s="17">
        <v>1</v>
      </c>
      <c r="F8" s="17">
        <v>1</v>
      </c>
      <c r="G8" s="17">
        <v>0.96</v>
      </c>
      <c r="H8" s="16"/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1</v>
      </c>
      <c r="P8" s="17">
        <v>1</v>
      </c>
      <c r="Q8" s="17">
        <v>1</v>
      </c>
      <c r="R8" s="17">
        <v>0.84</v>
      </c>
      <c r="S8" s="17">
        <v>1</v>
      </c>
      <c r="T8" s="17">
        <v>0.02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1</v>
      </c>
      <c r="AC8" s="17">
        <v>1</v>
      </c>
      <c r="AD8" s="17">
        <v>1</v>
      </c>
      <c r="AE8" s="17">
        <v>0.97</v>
      </c>
      <c r="AF8" s="17">
        <v>1</v>
      </c>
      <c r="AG8" s="17">
        <v>0.13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1</v>
      </c>
      <c r="AP8" s="17">
        <v>1</v>
      </c>
      <c r="AQ8" s="17">
        <v>0.76</v>
      </c>
      <c r="AR8" s="17">
        <v>0.44</v>
      </c>
      <c r="AS8" s="17">
        <v>0.5</v>
      </c>
      <c r="AT8" s="17">
        <v>0.18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</row>
    <row r="9" spans="1:53" x14ac:dyDescent="0.25">
      <c r="A9" s="6" t="s">
        <v>66</v>
      </c>
      <c r="B9" s="17">
        <v>1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6"/>
      <c r="J9" s="17">
        <v>1</v>
      </c>
      <c r="K9" s="17">
        <v>0.5</v>
      </c>
      <c r="L9" s="17">
        <v>0</v>
      </c>
      <c r="M9" s="17">
        <v>0</v>
      </c>
      <c r="N9" s="17">
        <v>0</v>
      </c>
      <c r="O9" s="17">
        <v>1</v>
      </c>
      <c r="P9" s="17">
        <v>1</v>
      </c>
      <c r="Q9" s="17">
        <v>1</v>
      </c>
      <c r="R9" s="17">
        <v>1</v>
      </c>
      <c r="S9" s="17">
        <v>1</v>
      </c>
      <c r="T9" s="17">
        <v>0.94</v>
      </c>
      <c r="U9" s="17">
        <v>1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1</v>
      </c>
      <c r="AC9" s="17">
        <v>1</v>
      </c>
      <c r="AD9" s="17">
        <v>1</v>
      </c>
      <c r="AE9" s="17">
        <v>0.9</v>
      </c>
      <c r="AF9" s="17">
        <v>1</v>
      </c>
      <c r="AG9" s="17">
        <v>0.16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1</v>
      </c>
      <c r="AP9" s="17">
        <v>1</v>
      </c>
      <c r="AQ9" s="17">
        <v>0.78</v>
      </c>
      <c r="AR9" s="17">
        <v>0.64</v>
      </c>
      <c r="AS9" s="17">
        <v>0.51</v>
      </c>
      <c r="AT9" s="17">
        <v>0.2</v>
      </c>
      <c r="AU9" s="17">
        <v>0.09</v>
      </c>
      <c r="AV9" s="17">
        <v>0.14000000000000001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</row>
    <row r="10" spans="1:53" x14ac:dyDescent="0.25">
      <c r="A10" s="6" t="s">
        <v>68</v>
      </c>
      <c r="B10" s="17">
        <v>1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0</v>
      </c>
      <c r="J10" s="16"/>
      <c r="K10" s="17">
        <v>0</v>
      </c>
      <c r="L10" s="17">
        <v>0</v>
      </c>
      <c r="M10" s="17">
        <v>0</v>
      </c>
      <c r="N10" s="17">
        <v>0</v>
      </c>
      <c r="O10" s="17">
        <v>1</v>
      </c>
      <c r="P10" s="17">
        <v>1</v>
      </c>
      <c r="Q10" s="17">
        <v>1</v>
      </c>
      <c r="R10" s="17">
        <v>0.87</v>
      </c>
      <c r="S10" s="17">
        <v>1</v>
      </c>
      <c r="T10" s="17">
        <v>0.09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1</v>
      </c>
      <c r="AC10" s="17">
        <v>1</v>
      </c>
      <c r="AD10" s="17">
        <v>1</v>
      </c>
      <c r="AE10" s="17">
        <v>0.95</v>
      </c>
      <c r="AF10" s="17">
        <v>1</v>
      </c>
      <c r="AG10" s="17">
        <v>0.4</v>
      </c>
      <c r="AH10" s="17">
        <v>1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1</v>
      </c>
      <c r="AP10" s="17">
        <v>1</v>
      </c>
      <c r="AQ10" s="17">
        <v>1</v>
      </c>
      <c r="AR10" s="17">
        <v>0.93</v>
      </c>
      <c r="AS10" s="17">
        <v>0.74</v>
      </c>
      <c r="AT10" s="17">
        <v>0.3</v>
      </c>
      <c r="AU10" s="17">
        <v>0.5</v>
      </c>
      <c r="AV10" s="17">
        <v>0.12</v>
      </c>
      <c r="AW10" s="17">
        <v>0.11</v>
      </c>
      <c r="AX10" s="17">
        <v>0</v>
      </c>
      <c r="AY10" s="17">
        <v>0</v>
      </c>
      <c r="AZ10" s="17">
        <v>0</v>
      </c>
      <c r="BA10" s="17">
        <v>0</v>
      </c>
    </row>
    <row r="11" spans="1:53" x14ac:dyDescent="0.25">
      <c r="A11" s="6" t="s">
        <v>67</v>
      </c>
      <c r="B11" s="17">
        <v>1</v>
      </c>
      <c r="C11" s="17">
        <v>1</v>
      </c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0</v>
      </c>
      <c r="J11" s="17">
        <v>1</v>
      </c>
      <c r="K11" s="16"/>
      <c r="L11" s="17">
        <v>0</v>
      </c>
      <c r="M11" s="17">
        <v>0</v>
      </c>
      <c r="N11" s="17">
        <v>0</v>
      </c>
      <c r="O11" s="17">
        <v>1</v>
      </c>
      <c r="P11" s="17">
        <v>1</v>
      </c>
      <c r="Q11" s="17">
        <v>0.5</v>
      </c>
      <c r="R11" s="17">
        <v>0.53</v>
      </c>
      <c r="S11" s="17">
        <v>0.5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1</v>
      </c>
      <c r="AC11" s="17">
        <v>1</v>
      </c>
      <c r="AD11" s="17">
        <v>1</v>
      </c>
      <c r="AE11" s="17">
        <v>0.98</v>
      </c>
      <c r="AF11" s="17">
        <v>1</v>
      </c>
      <c r="AG11" s="17">
        <v>0.98</v>
      </c>
      <c r="AH11" s="17">
        <v>1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1</v>
      </c>
      <c r="AP11" s="17">
        <v>1</v>
      </c>
      <c r="AQ11" s="17">
        <v>1</v>
      </c>
      <c r="AR11" s="17">
        <v>0.98</v>
      </c>
      <c r="AS11" s="17">
        <v>1</v>
      </c>
      <c r="AT11" s="17">
        <v>0.43</v>
      </c>
      <c r="AU11" s="17">
        <v>0.52</v>
      </c>
      <c r="AV11" s="17">
        <v>0.14000000000000001</v>
      </c>
      <c r="AW11" s="17">
        <v>0.14000000000000001</v>
      </c>
      <c r="AX11" s="17">
        <v>0.13</v>
      </c>
      <c r="AY11" s="17">
        <v>0</v>
      </c>
      <c r="AZ11" s="17">
        <v>0</v>
      </c>
      <c r="BA11" s="17">
        <v>0</v>
      </c>
    </row>
    <row r="12" spans="1:53" x14ac:dyDescent="0.25">
      <c r="A12" s="6" t="s">
        <v>49</v>
      </c>
      <c r="B12" s="17">
        <v>1</v>
      </c>
      <c r="C12" s="17">
        <v>1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6"/>
      <c r="M12" s="17">
        <v>0.5</v>
      </c>
      <c r="N12" s="17">
        <v>0</v>
      </c>
      <c r="O12" s="17">
        <v>1</v>
      </c>
      <c r="P12" s="17">
        <v>1</v>
      </c>
      <c r="Q12" s="17">
        <v>1</v>
      </c>
      <c r="R12" s="17">
        <v>0.99</v>
      </c>
      <c r="S12" s="17">
        <v>1</v>
      </c>
      <c r="T12" s="17">
        <v>0.89</v>
      </c>
      <c r="U12" s="17">
        <v>0.5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1</v>
      </c>
      <c r="AC12" s="17">
        <v>1</v>
      </c>
      <c r="AD12" s="17">
        <v>1</v>
      </c>
      <c r="AE12" s="17">
        <v>0.99</v>
      </c>
      <c r="AF12" s="17">
        <v>1</v>
      </c>
      <c r="AG12" s="17">
        <v>1</v>
      </c>
      <c r="AH12" s="17">
        <v>1</v>
      </c>
      <c r="AI12" s="17">
        <v>1</v>
      </c>
      <c r="AJ12" s="17">
        <v>1</v>
      </c>
      <c r="AK12" s="17">
        <v>1</v>
      </c>
      <c r="AL12" s="17">
        <v>0.5</v>
      </c>
      <c r="AM12" s="17">
        <v>0</v>
      </c>
      <c r="AN12" s="17">
        <v>0</v>
      </c>
      <c r="AO12" s="17">
        <v>1</v>
      </c>
      <c r="AP12" s="17">
        <v>1</v>
      </c>
      <c r="AQ12" s="17">
        <v>1</v>
      </c>
      <c r="AR12" s="17">
        <v>0.99</v>
      </c>
      <c r="AS12" s="17">
        <v>1</v>
      </c>
      <c r="AT12" s="17">
        <v>0.91</v>
      </c>
      <c r="AU12" s="17">
        <v>1</v>
      </c>
      <c r="AV12" s="17">
        <v>1</v>
      </c>
      <c r="AW12" s="17">
        <v>0.7</v>
      </c>
      <c r="AX12" s="17">
        <v>0.75</v>
      </c>
      <c r="AY12" s="17">
        <v>0.8</v>
      </c>
      <c r="AZ12" s="17">
        <v>0.12</v>
      </c>
      <c r="BA12" s="17">
        <v>0</v>
      </c>
    </row>
    <row r="13" spans="1:53" x14ac:dyDescent="0.25">
      <c r="A13" s="6" t="s">
        <v>55</v>
      </c>
      <c r="B13" s="17">
        <v>1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7">
        <v>1</v>
      </c>
      <c r="L13" s="17">
        <v>0.5</v>
      </c>
      <c r="M13" s="16"/>
      <c r="N13" s="17">
        <v>0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17">
        <v>0.97</v>
      </c>
      <c r="U13" s="17">
        <v>1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1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17">
        <v>1</v>
      </c>
      <c r="AJ13" s="17">
        <v>1</v>
      </c>
      <c r="AK13" s="17">
        <v>0</v>
      </c>
      <c r="AL13" s="17">
        <v>0</v>
      </c>
      <c r="AM13" s="17">
        <v>0</v>
      </c>
      <c r="AN13" s="17">
        <v>0</v>
      </c>
      <c r="AO13" s="17">
        <v>1</v>
      </c>
      <c r="AP13" s="17">
        <v>1</v>
      </c>
      <c r="AQ13" s="17">
        <v>1</v>
      </c>
      <c r="AR13" s="17">
        <v>0.99</v>
      </c>
      <c r="AS13" s="17">
        <v>1</v>
      </c>
      <c r="AT13" s="17">
        <v>0.59</v>
      </c>
      <c r="AU13" s="17">
        <v>0.86</v>
      </c>
      <c r="AV13" s="17">
        <v>0.47</v>
      </c>
      <c r="AW13" s="17">
        <v>0.52</v>
      </c>
      <c r="AX13" s="17">
        <v>0.15</v>
      </c>
      <c r="AY13" s="17">
        <v>0.13</v>
      </c>
      <c r="AZ13" s="17">
        <v>0.15</v>
      </c>
      <c r="BA13" s="17">
        <v>0</v>
      </c>
    </row>
    <row r="14" spans="1:53" x14ac:dyDescent="0.25">
      <c r="A14" s="6" t="s">
        <v>44</v>
      </c>
      <c r="B14" s="17">
        <v>1</v>
      </c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6"/>
      <c r="O14" s="17">
        <v>1</v>
      </c>
      <c r="P14" s="17">
        <v>1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7">
        <v>1</v>
      </c>
      <c r="W14" s="17">
        <v>1</v>
      </c>
      <c r="X14" s="17">
        <v>0</v>
      </c>
      <c r="Y14" s="17">
        <v>0</v>
      </c>
      <c r="Z14" s="17">
        <v>0</v>
      </c>
      <c r="AA14" s="17">
        <v>0</v>
      </c>
      <c r="AB14" s="17">
        <v>1</v>
      </c>
      <c r="AC14" s="17">
        <v>1</v>
      </c>
      <c r="AD14" s="17">
        <v>1</v>
      </c>
      <c r="AE14" s="17">
        <v>0.99</v>
      </c>
      <c r="AF14" s="17">
        <v>1</v>
      </c>
      <c r="AG14" s="17">
        <v>1</v>
      </c>
      <c r="AH14" s="17">
        <v>1</v>
      </c>
      <c r="AI14" s="17">
        <v>1</v>
      </c>
      <c r="AJ14" s="17">
        <v>1</v>
      </c>
      <c r="AK14" s="17">
        <v>1</v>
      </c>
      <c r="AL14" s="17">
        <v>0</v>
      </c>
      <c r="AM14" s="17">
        <v>0</v>
      </c>
      <c r="AN14" s="17">
        <v>0</v>
      </c>
      <c r="AO14" s="17">
        <v>1</v>
      </c>
      <c r="AP14" s="17">
        <v>1</v>
      </c>
      <c r="AQ14" s="17">
        <v>1</v>
      </c>
      <c r="AR14" s="17">
        <v>1</v>
      </c>
      <c r="AS14" s="17">
        <v>1</v>
      </c>
      <c r="AT14" s="17">
        <v>0.99</v>
      </c>
      <c r="AU14" s="17">
        <v>0.87</v>
      </c>
      <c r="AV14" s="17">
        <v>0.51</v>
      </c>
      <c r="AW14" s="17">
        <v>0.51</v>
      </c>
      <c r="AX14" s="17">
        <v>0.51</v>
      </c>
      <c r="AY14" s="17">
        <v>0.13</v>
      </c>
      <c r="AZ14" s="17">
        <v>0.16</v>
      </c>
      <c r="BA14" s="17">
        <v>0.13</v>
      </c>
    </row>
    <row r="15" spans="1:53" x14ac:dyDescent="0.25">
      <c r="A15" s="6" t="s">
        <v>87</v>
      </c>
      <c r="B15" s="17">
        <v>1</v>
      </c>
      <c r="C15" s="17">
        <v>0</v>
      </c>
      <c r="D15" s="17">
        <v>1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6"/>
      <c r="P15" s="17">
        <v>0</v>
      </c>
      <c r="Q15" s="17">
        <v>1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</row>
    <row r="16" spans="1:53" x14ac:dyDescent="0.25">
      <c r="A16" s="6" t="s">
        <v>84</v>
      </c>
      <c r="B16" s="17">
        <v>1</v>
      </c>
      <c r="C16" s="17">
        <v>1</v>
      </c>
      <c r="D16" s="17">
        <v>1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1</v>
      </c>
      <c r="P16" s="16"/>
      <c r="Q16" s="17">
        <v>1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1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0.26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</row>
    <row r="17" spans="1:53" x14ac:dyDescent="0.25">
      <c r="A17" s="6" t="s">
        <v>80</v>
      </c>
      <c r="B17" s="17">
        <v>1</v>
      </c>
      <c r="C17" s="17">
        <v>1</v>
      </c>
      <c r="D17" s="17">
        <v>1</v>
      </c>
      <c r="E17" s="17">
        <v>0.82</v>
      </c>
      <c r="F17" s="17">
        <v>1</v>
      </c>
      <c r="G17" s="17">
        <v>0.81</v>
      </c>
      <c r="H17" s="17">
        <v>0</v>
      </c>
      <c r="I17" s="17">
        <v>0</v>
      </c>
      <c r="J17" s="17">
        <v>0</v>
      </c>
      <c r="K17" s="17">
        <v>0.5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6"/>
      <c r="R17" s="17">
        <v>0.53</v>
      </c>
      <c r="S17" s="17">
        <v>1</v>
      </c>
      <c r="T17" s="17">
        <v>0.02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1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0.78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</row>
    <row r="18" spans="1:53" x14ac:dyDescent="0.25">
      <c r="A18" s="6" t="s">
        <v>76</v>
      </c>
      <c r="B18" s="17">
        <v>1</v>
      </c>
      <c r="C18" s="17">
        <v>1</v>
      </c>
      <c r="D18" s="17">
        <v>1</v>
      </c>
      <c r="E18" s="17">
        <v>0.9</v>
      </c>
      <c r="F18" s="17">
        <v>1</v>
      </c>
      <c r="G18" s="17">
        <v>0.66</v>
      </c>
      <c r="H18" s="17">
        <v>0.16</v>
      </c>
      <c r="I18" s="17">
        <v>0.01</v>
      </c>
      <c r="J18" s="17">
        <v>0.14000000000000001</v>
      </c>
      <c r="K18" s="17">
        <v>0.48</v>
      </c>
      <c r="L18" s="17">
        <v>0.01</v>
      </c>
      <c r="M18" s="17">
        <v>0</v>
      </c>
      <c r="N18" s="17">
        <v>0</v>
      </c>
      <c r="O18" s="17">
        <v>1</v>
      </c>
      <c r="P18" s="17">
        <v>1</v>
      </c>
      <c r="Q18" s="17">
        <v>0.48</v>
      </c>
      <c r="R18" s="16"/>
      <c r="S18" s="17">
        <v>1</v>
      </c>
      <c r="T18" s="17">
        <v>0.13</v>
      </c>
      <c r="U18" s="17">
        <v>0</v>
      </c>
      <c r="V18" s="17">
        <v>0</v>
      </c>
      <c r="W18" s="17">
        <v>0.01</v>
      </c>
      <c r="X18" s="17">
        <v>0</v>
      </c>
      <c r="Y18" s="17">
        <v>0</v>
      </c>
      <c r="Z18" s="17">
        <v>0</v>
      </c>
      <c r="AA18" s="17">
        <v>0</v>
      </c>
      <c r="AB18" s="17">
        <v>1</v>
      </c>
      <c r="AC18" s="17">
        <v>1</v>
      </c>
      <c r="AD18" s="17">
        <v>0.08</v>
      </c>
      <c r="AE18" s="17">
        <v>0.14000000000000001</v>
      </c>
      <c r="AF18" s="17">
        <v>0.13</v>
      </c>
      <c r="AG18" s="17">
        <v>0.01</v>
      </c>
      <c r="AH18" s="17">
        <v>0</v>
      </c>
      <c r="AI18" s="17">
        <v>0</v>
      </c>
      <c r="AJ18" s="17">
        <v>0.01</v>
      </c>
      <c r="AK18" s="17">
        <v>0</v>
      </c>
      <c r="AL18" s="17">
        <v>0</v>
      </c>
      <c r="AM18" s="17">
        <v>0</v>
      </c>
      <c r="AN18" s="17">
        <v>0</v>
      </c>
      <c r="AO18" s="17">
        <v>1</v>
      </c>
      <c r="AP18" s="17">
        <v>0.64</v>
      </c>
      <c r="AQ18" s="17">
        <v>0.21</v>
      </c>
      <c r="AR18" s="17">
        <v>0.12</v>
      </c>
      <c r="AS18" s="17">
        <v>0.11</v>
      </c>
      <c r="AT18" s="17">
        <v>7.0000000000000007E-2</v>
      </c>
      <c r="AU18" s="17">
        <v>0.01</v>
      </c>
      <c r="AV18" s="17">
        <v>0.05</v>
      </c>
      <c r="AW18" s="17">
        <v>0.01</v>
      </c>
      <c r="AX18" s="17">
        <v>0</v>
      </c>
      <c r="AY18" s="17">
        <v>0</v>
      </c>
      <c r="AZ18" s="17">
        <v>0</v>
      </c>
      <c r="BA18" s="17">
        <v>0</v>
      </c>
    </row>
    <row r="19" spans="1:53" x14ac:dyDescent="0.25">
      <c r="A19" s="6" t="s">
        <v>78</v>
      </c>
      <c r="B19" s="17">
        <v>1</v>
      </c>
      <c r="C19" s="17">
        <v>1</v>
      </c>
      <c r="D19" s="17">
        <v>1</v>
      </c>
      <c r="E19" s="17">
        <v>0.94</v>
      </c>
      <c r="F19" s="17">
        <v>1</v>
      </c>
      <c r="G19" s="17">
        <v>0.61</v>
      </c>
      <c r="H19" s="17">
        <v>0</v>
      </c>
      <c r="I19" s="17">
        <v>0</v>
      </c>
      <c r="J19" s="17">
        <v>0</v>
      </c>
      <c r="K19" s="17">
        <v>0.5</v>
      </c>
      <c r="L19" s="17">
        <v>0</v>
      </c>
      <c r="M19" s="17">
        <v>0</v>
      </c>
      <c r="N19" s="17">
        <v>0</v>
      </c>
      <c r="O19" s="17">
        <v>1</v>
      </c>
      <c r="P19" s="17">
        <v>1</v>
      </c>
      <c r="Q19" s="17">
        <v>0</v>
      </c>
      <c r="R19" s="17">
        <v>0</v>
      </c>
      <c r="S19" s="16"/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1</v>
      </c>
      <c r="AC19" s="17">
        <v>1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1</v>
      </c>
      <c r="AP19" s="17">
        <v>0.76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</row>
    <row r="20" spans="1:53" x14ac:dyDescent="0.25">
      <c r="A20" s="6" t="s">
        <v>74</v>
      </c>
      <c r="B20" s="17">
        <v>1</v>
      </c>
      <c r="C20" s="17">
        <v>1</v>
      </c>
      <c r="D20" s="17">
        <v>1</v>
      </c>
      <c r="E20" s="17">
        <v>0.98</v>
      </c>
      <c r="F20" s="17">
        <v>1</v>
      </c>
      <c r="G20" s="17">
        <v>0.99</v>
      </c>
      <c r="H20" s="17">
        <v>0.99</v>
      </c>
      <c r="I20" s="17">
        <v>0.06</v>
      </c>
      <c r="J20" s="17">
        <v>0.91</v>
      </c>
      <c r="K20" s="17">
        <v>1</v>
      </c>
      <c r="L20" s="17">
        <v>0.11</v>
      </c>
      <c r="M20" s="17">
        <v>0.03</v>
      </c>
      <c r="N20" s="17">
        <v>0</v>
      </c>
      <c r="O20" s="17">
        <v>1</v>
      </c>
      <c r="P20" s="17">
        <v>1</v>
      </c>
      <c r="Q20" s="17">
        <v>0.99</v>
      </c>
      <c r="R20" s="17">
        <v>0.88</v>
      </c>
      <c r="S20" s="17">
        <v>1</v>
      </c>
      <c r="T20" s="16"/>
      <c r="U20" s="17">
        <v>0.01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1</v>
      </c>
      <c r="AC20" s="17">
        <v>1</v>
      </c>
      <c r="AD20" s="17">
        <v>0</v>
      </c>
      <c r="AE20" s="17">
        <v>0.28000000000000003</v>
      </c>
      <c r="AF20" s="17">
        <v>0.2</v>
      </c>
      <c r="AG20" s="17">
        <v>0.02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1</v>
      </c>
      <c r="AP20" s="17">
        <v>0.92</v>
      </c>
      <c r="AQ20" s="17">
        <v>0</v>
      </c>
      <c r="AR20" s="17">
        <v>0.11</v>
      </c>
      <c r="AS20" s="17">
        <v>0.04</v>
      </c>
      <c r="AT20" s="17">
        <v>0.01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</row>
    <row r="21" spans="1:53" x14ac:dyDescent="0.25">
      <c r="A21" s="6" t="s">
        <v>70</v>
      </c>
      <c r="B21" s="17">
        <v>1</v>
      </c>
      <c r="C21" s="17">
        <v>1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7">
        <v>0</v>
      </c>
      <c r="J21" s="17">
        <v>1</v>
      </c>
      <c r="K21" s="17">
        <v>1</v>
      </c>
      <c r="L21" s="17">
        <v>0.5</v>
      </c>
      <c r="M21" s="17">
        <v>0</v>
      </c>
      <c r="N21" s="17">
        <v>0</v>
      </c>
      <c r="O21" s="17">
        <v>1</v>
      </c>
      <c r="P21" s="17">
        <v>1</v>
      </c>
      <c r="Q21" s="17">
        <v>1</v>
      </c>
      <c r="R21" s="17">
        <v>1</v>
      </c>
      <c r="S21" s="17">
        <v>1</v>
      </c>
      <c r="T21" s="17">
        <v>1</v>
      </c>
      <c r="U21" s="16"/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1</v>
      </c>
      <c r="AC21" s="17">
        <v>1</v>
      </c>
      <c r="AD21" s="17">
        <v>0</v>
      </c>
      <c r="AE21" s="17">
        <v>0.69</v>
      </c>
      <c r="AF21" s="17">
        <v>0</v>
      </c>
      <c r="AG21" s="17">
        <v>0.02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1</v>
      </c>
      <c r="AP21" s="17">
        <v>1</v>
      </c>
      <c r="AQ21" s="17">
        <v>0.33</v>
      </c>
      <c r="AR21" s="17">
        <v>0.2</v>
      </c>
      <c r="AS21" s="17">
        <v>0.14000000000000001</v>
      </c>
      <c r="AT21" s="17">
        <v>0.03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</row>
    <row r="22" spans="1:53" x14ac:dyDescent="0.25">
      <c r="A22" s="6" t="s">
        <v>61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>
        <v>0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6"/>
      <c r="W22" s="17">
        <v>1</v>
      </c>
      <c r="X22" s="17">
        <v>1</v>
      </c>
      <c r="Y22" s="17">
        <v>1</v>
      </c>
      <c r="Z22" s="17">
        <v>0</v>
      </c>
      <c r="AA22" s="17">
        <v>0</v>
      </c>
      <c r="AB22" s="17">
        <v>1</v>
      </c>
      <c r="AC22" s="17">
        <v>1</v>
      </c>
      <c r="AD22" s="17">
        <v>0</v>
      </c>
      <c r="AE22" s="17">
        <v>0.74</v>
      </c>
      <c r="AF22" s="17">
        <v>0.5</v>
      </c>
      <c r="AG22" s="17">
        <v>0.02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1</v>
      </c>
      <c r="AP22" s="17">
        <v>1</v>
      </c>
      <c r="AQ22" s="17">
        <v>0.27</v>
      </c>
      <c r="AR22" s="17">
        <v>0.35</v>
      </c>
      <c r="AS22" s="17">
        <v>0.08</v>
      </c>
      <c r="AT22" s="17">
        <v>0.04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</row>
    <row r="23" spans="1:53" x14ac:dyDescent="0.25">
      <c r="A23" s="6" t="s">
        <v>65</v>
      </c>
      <c r="B23" s="17">
        <v>1</v>
      </c>
      <c r="C23" s="17">
        <v>1</v>
      </c>
      <c r="D23" s="17">
        <v>1</v>
      </c>
      <c r="E23" s="17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7">
        <v>1</v>
      </c>
      <c r="L23" s="17">
        <v>1</v>
      </c>
      <c r="M23" s="17">
        <v>1</v>
      </c>
      <c r="N23" s="17">
        <v>0</v>
      </c>
      <c r="O23" s="17">
        <v>1</v>
      </c>
      <c r="P23" s="17">
        <v>1</v>
      </c>
      <c r="Q23" s="17">
        <v>1</v>
      </c>
      <c r="R23" s="17">
        <v>1</v>
      </c>
      <c r="S23" s="17">
        <v>1</v>
      </c>
      <c r="T23" s="17">
        <v>1</v>
      </c>
      <c r="U23" s="17">
        <v>1</v>
      </c>
      <c r="V23" s="17">
        <v>0</v>
      </c>
      <c r="W23" s="16"/>
      <c r="X23" s="17">
        <v>0</v>
      </c>
      <c r="Y23" s="17">
        <v>0</v>
      </c>
      <c r="Z23" s="17">
        <v>0</v>
      </c>
      <c r="AA23" s="17">
        <v>0</v>
      </c>
      <c r="AB23" s="17">
        <v>1</v>
      </c>
      <c r="AC23" s="17">
        <v>1</v>
      </c>
      <c r="AD23" s="17">
        <v>0.5</v>
      </c>
      <c r="AE23" s="17">
        <v>0.68</v>
      </c>
      <c r="AF23" s="17">
        <v>1</v>
      </c>
      <c r="AG23" s="17">
        <v>7.0000000000000007E-2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1</v>
      </c>
      <c r="AP23" s="17">
        <v>1</v>
      </c>
      <c r="AQ23" s="17">
        <v>0.26</v>
      </c>
      <c r="AR23" s="17">
        <v>0.56999999999999995</v>
      </c>
      <c r="AS23" s="17">
        <v>0.14000000000000001</v>
      </c>
      <c r="AT23" s="17">
        <v>7.0000000000000007E-2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</row>
    <row r="24" spans="1:53" x14ac:dyDescent="0.25">
      <c r="A24" s="6" t="s">
        <v>59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17">
        <v>1</v>
      </c>
      <c r="P24" s="17">
        <v>1</v>
      </c>
      <c r="Q24" s="17">
        <v>1</v>
      </c>
      <c r="R24" s="17">
        <v>1</v>
      </c>
      <c r="S24" s="17">
        <v>1</v>
      </c>
      <c r="T24" s="17">
        <v>1</v>
      </c>
      <c r="U24" s="17">
        <v>1</v>
      </c>
      <c r="V24" s="17">
        <v>0</v>
      </c>
      <c r="W24" s="17">
        <v>1</v>
      </c>
      <c r="X24" s="16"/>
      <c r="Y24" s="17">
        <v>0</v>
      </c>
      <c r="Z24" s="17">
        <v>0</v>
      </c>
      <c r="AA24" s="17">
        <v>0</v>
      </c>
      <c r="AB24" s="17">
        <v>1</v>
      </c>
      <c r="AC24" s="17">
        <v>1</v>
      </c>
      <c r="AD24" s="17">
        <v>0.5</v>
      </c>
      <c r="AE24" s="17">
        <v>0.77</v>
      </c>
      <c r="AF24" s="17">
        <v>1</v>
      </c>
      <c r="AG24" s="17">
        <v>0.48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1</v>
      </c>
      <c r="AP24" s="17">
        <v>1</v>
      </c>
      <c r="AQ24" s="17">
        <v>0.24</v>
      </c>
      <c r="AR24" s="17">
        <v>0.76</v>
      </c>
      <c r="AS24" s="17">
        <v>0.52</v>
      </c>
      <c r="AT24" s="17">
        <v>0.12</v>
      </c>
      <c r="AU24" s="17">
        <v>0.14000000000000001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</row>
    <row r="25" spans="1:53" x14ac:dyDescent="0.25">
      <c r="A25" s="6" t="s">
        <v>57</v>
      </c>
      <c r="B25" s="17">
        <v>1</v>
      </c>
      <c r="C25" s="17">
        <v>1</v>
      </c>
      <c r="D25" s="17">
        <v>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  <c r="P25" s="17">
        <v>1</v>
      </c>
      <c r="Q25" s="17">
        <v>1</v>
      </c>
      <c r="R25" s="17">
        <v>1</v>
      </c>
      <c r="S25" s="17">
        <v>1</v>
      </c>
      <c r="T25" s="17">
        <v>1</v>
      </c>
      <c r="U25" s="17">
        <v>1</v>
      </c>
      <c r="V25" s="17">
        <v>0</v>
      </c>
      <c r="W25" s="17">
        <v>1</v>
      </c>
      <c r="X25" s="17">
        <v>1</v>
      </c>
      <c r="Y25" s="16"/>
      <c r="Z25" s="17">
        <v>0</v>
      </c>
      <c r="AA25" s="17">
        <v>0</v>
      </c>
      <c r="AB25" s="17">
        <v>1</v>
      </c>
      <c r="AC25" s="17">
        <v>1</v>
      </c>
      <c r="AD25" s="17">
        <v>1</v>
      </c>
      <c r="AE25" s="17">
        <v>0.83</v>
      </c>
      <c r="AF25" s="17">
        <v>1</v>
      </c>
      <c r="AG25" s="17">
        <v>0.66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1</v>
      </c>
      <c r="AP25" s="17">
        <v>1</v>
      </c>
      <c r="AQ25" s="17">
        <v>0.19</v>
      </c>
      <c r="AR25" s="17">
        <v>0.74</v>
      </c>
      <c r="AS25" s="17">
        <v>0.77</v>
      </c>
      <c r="AT25" s="17">
        <v>0.18</v>
      </c>
      <c r="AU25" s="17">
        <v>0.13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</row>
    <row r="26" spans="1:53" x14ac:dyDescent="0.25">
      <c r="A26" s="6" t="s">
        <v>52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6"/>
      <c r="AA26" s="17">
        <v>0</v>
      </c>
      <c r="AB26" s="17">
        <v>1</v>
      </c>
      <c r="AC26" s="17">
        <v>1</v>
      </c>
      <c r="AD26" s="17">
        <v>1</v>
      </c>
      <c r="AE26" s="17">
        <v>0.94</v>
      </c>
      <c r="AF26" s="17">
        <v>1</v>
      </c>
      <c r="AG26" s="17">
        <v>0.78</v>
      </c>
      <c r="AH26" s="17">
        <v>1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1</v>
      </c>
      <c r="AP26" s="17">
        <v>1</v>
      </c>
      <c r="AQ26" s="17">
        <v>0.76</v>
      </c>
      <c r="AR26" s="17">
        <v>0.91</v>
      </c>
      <c r="AS26" s="17">
        <v>1</v>
      </c>
      <c r="AT26" s="17">
        <v>0.24</v>
      </c>
      <c r="AU26" s="17">
        <v>0.1</v>
      </c>
      <c r="AV26" s="17">
        <v>0.16</v>
      </c>
      <c r="AW26" s="17">
        <v>0.13</v>
      </c>
      <c r="AX26" s="17">
        <v>0</v>
      </c>
      <c r="AY26" s="17">
        <v>0</v>
      </c>
      <c r="AZ26" s="17">
        <v>0</v>
      </c>
      <c r="BA26" s="17">
        <v>0</v>
      </c>
    </row>
    <row r="27" spans="1:53" x14ac:dyDescent="0.25">
      <c r="A27" s="6" t="s">
        <v>46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6"/>
      <c r="AB27" s="17">
        <v>1</v>
      </c>
      <c r="AC27" s="17">
        <v>1</v>
      </c>
      <c r="AD27" s="17">
        <v>1</v>
      </c>
      <c r="AE27" s="17">
        <v>0.93</v>
      </c>
      <c r="AF27" s="17">
        <v>1</v>
      </c>
      <c r="AG27" s="17">
        <v>0.92</v>
      </c>
      <c r="AH27" s="17">
        <v>1</v>
      </c>
      <c r="AI27" s="17">
        <v>1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1</v>
      </c>
      <c r="AP27" s="17">
        <v>1</v>
      </c>
      <c r="AQ27" s="17">
        <v>0.77</v>
      </c>
      <c r="AR27" s="17">
        <v>0.91</v>
      </c>
      <c r="AS27" s="17">
        <v>1</v>
      </c>
      <c r="AT27" s="17">
        <v>0.56000000000000005</v>
      </c>
      <c r="AU27" s="17">
        <v>0.45</v>
      </c>
      <c r="AV27" s="17">
        <v>0.11</v>
      </c>
      <c r="AW27" s="17">
        <v>0.18</v>
      </c>
      <c r="AX27" s="17">
        <v>0</v>
      </c>
      <c r="AY27" s="17">
        <v>0</v>
      </c>
      <c r="AZ27" s="17">
        <v>0</v>
      </c>
      <c r="BA27" s="17">
        <v>0</v>
      </c>
    </row>
    <row r="28" spans="1:53" x14ac:dyDescent="0.25">
      <c r="A28" s="6" t="s">
        <v>88</v>
      </c>
      <c r="B28" s="17">
        <v>0.5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1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6"/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0.5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</row>
    <row r="29" spans="1:53" x14ac:dyDescent="0.25">
      <c r="A29" s="6" t="s">
        <v>83</v>
      </c>
      <c r="B29" s="17">
        <v>1</v>
      </c>
      <c r="C29" s="17">
        <v>0</v>
      </c>
      <c r="D29" s="17">
        <v>1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1</v>
      </c>
      <c r="P29" s="17">
        <v>0</v>
      </c>
      <c r="Q29" s="17">
        <v>1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1</v>
      </c>
      <c r="AC29" s="16"/>
      <c r="AD29" s="17">
        <v>0.5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0.76</v>
      </c>
      <c r="AP29" s="17">
        <v>0.5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</row>
    <row r="30" spans="1:53" x14ac:dyDescent="0.25">
      <c r="A30" s="6" t="s">
        <v>73</v>
      </c>
      <c r="B30" s="17">
        <v>1</v>
      </c>
      <c r="C30" s="17">
        <v>1</v>
      </c>
      <c r="D30" s="17">
        <v>1</v>
      </c>
      <c r="E30" s="17">
        <v>0.62</v>
      </c>
      <c r="F30" s="17">
        <v>1</v>
      </c>
      <c r="G30" s="17">
        <v>0.46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1</v>
      </c>
      <c r="P30" s="17">
        <v>1</v>
      </c>
      <c r="Q30" s="17">
        <v>1</v>
      </c>
      <c r="R30" s="17">
        <v>0.93</v>
      </c>
      <c r="S30" s="17">
        <v>1</v>
      </c>
      <c r="T30" s="17">
        <v>1</v>
      </c>
      <c r="U30" s="17">
        <v>1</v>
      </c>
      <c r="V30" s="17">
        <v>1</v>
      </c>
      <c r="W30" s="17">
        <v>0.5</v>
      </c>
      <c r="X30" s="17">
        <v>0.5</v>
      </c>
      <c r="Y30" s="17">
        <v>0</v>
      </c>
      <c r="Z30" s="17">
        <v>0</v>
      </c>
      <c r="AA30" s="17">
        <v>0</v>
      </c>
      <c r="AB30" s="17">
        <v>1</v>
      </c>
      <c r="AC30" s="17">
        <v>0</v>
      </c>
      <c r="AD30" s="16"/>
      <c r="AE30" s="17">
        <v>0.77</v>
      </c>
      <c r="AF30" s="17">
        <v>0</v>
      </c>
      <c r="AG30" s="17">
        <v>0.12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0.77</v>
      </c>
      <c r="AP30" s="17">
        <v>0.5</v>
      </c>
      <c r="AQ30" s="17">
        <v>0.5</v>
      </c>
      <c r="AR30" s="17">
        <v>0</v>
      </c>
      <c r="AS30" s="17">
        <v>0</v>
      </c>
      <c r="AT30" s="17">
        <v>0.52</v>
      </c>
      <c r="AU30" s="17">
        <v>0</v>
      </c>
      <c r="AV30" s="17">
        <v>0</v>
      </c>
      <c r="AW30" s="17">
        <v>0</v>
      </c>
      <c r="AX30" s="17">
        <v>0.5</v>
      </c>
      <c r="AY30" s="17">
        <v>0</v>
      </c>
      <c r="AZ30" s="17">
        <v>0</v>
      </c>
      <c r="BA30" s="17">
        <v>0</v>
      </c>
    </row>
    <row r="31" spans="1:53" x14ac:dyDescent="0.25">
      <c r="A31" s="6" t="s">
        <v>69</v>
      </c>
      <c r="B31" s="17">
        <v>1</v>
      </c>
      <c r="C31" s="17">
        <v>1</v>
      </c>
      <c r="D31" s="17">
        <v>1</v>
      </c>
      <c r="E31" s="17">
        <v>0.61</v>
      </c>
      <c r="F31" s="17">
        <v>1</v>
      </c>
      <c r="G31" s="17">
        <v>0.36</v>
      </c>
      <c r="H31" s="17">
        <v>0.04</v>
      </c>
      <c r="I31" s="17">
        <v>0.1</v>
      </c>
      <c r="J31" s="17">
        <v>0.05</v>
      </c>
      <c r="K31" s="17">
        <v>0.02</v>
      </c>
      <c r="L31" s="17">
        <v>0.01</v>
      </c>
      <c r="M31" s="17">
        <v>0.01</v>
      </c>
      <c r="N31" s="17">
        <v>0.01</v>
      </c>
      <c r="O31" s="17">
        <v>1</v>
      </c>
      <c r="P31" s="17">
        <v>1</v>
      </c>
      <c r="Q31" s="17">
        <v>1</v>
      </c>
      <c r="R31" s="17">
        <v>0.86</v>
      </c>
      <c r="S31" s="17">
        <v>1</v>
      </c>
      <c r="T31" s="17">
        <v>0.73</v>
      </c>
      <c r="U31" s="17">
        <v>0.31</v>
      </c>
      <c r="V31" s="17">
        <v>0.27</v>
      </c>
      <c r="W31" s="17">
        <v>0.33</v>
      </c>
      <c r="X31" s="17">
        <v>0.24</v>
      </c>
      <c r="Y31" s="17">
        <v>0.18</v>
      </c>
      <c r="Z31" s="17">
        <v>7.0000000000000007E-2</v>
      </c>
      <c r="AA31" s="17">
        <v>7.0000000000000007E-2</v>
      </c>
      <c r="AB31" s="17">
        <v>1</v>
      </c>
      <c r="AC31" s="17">
        <v>1</v>
      </c>
      <c r="AD31" s="17">
        <v>0.24</v>
      </c>
      <c r="AE31" s="16"/>
      <c r="AF31" s="17">
        <v>0.78</v>
      </c>
      <c r="AG31" s="17">
        <v>0.22</v>
      </c>
      <c r="AH31" s="17">
        <v>0.09</v>
      </c>
      <c r="AI31" s="17">
        <v>0.06</v>
      </c>
      <c r="AJ31" s="17">
        <v>0.1</v>
      </c>
      <c r="AK31" s="17">
        <v>0.04</v>
      </c>
      <c r="AL31" s="17">
        <v>0.03</v>
      </c>
      <c r="AM31" s="17">
        <v>0.03</v>
      </c>
      <c r="AN31" s="17">
        <v>0.01</v>
      </c>
      <c r="AO31" s="17">
        <v>1</v>
      </c>
      <c r="AP31" s="17">
        <v>0.81</v>
      </c>
      <c r="AQ31" s="17">
        <v>0.65</v>
      </c>
      <c r="AR31" s="17">
        <v>0.56000000000000005</v>
      </c>
      <c r="AS31" s="17">
        <v>0.35</v>
      </c>
      <c r="AT31" s="17">
        <v>0.38</v>
      </c>
      <c r="AU31" s="17">
        <v>0.33</v>
      </c>
      <c r="AV31" s="17">
        <v>0.38</v>
      </c>
      <c r="AW31" s="17">
        <v>0.31</v>
      </c>
      <c r="AX31" s="17">
        <v>0.41</v>
      </c>
      <c r="AY31" s="17">
        <v>0.28000000000000003</v>
      </c>
      <c r="AZ31" s="17">
        <v>0.28000000000000003</v>
      </c>
      <c r="BA31" s="17">
        <v>0.23</v>
      </c>
    </row>
    <row r="32" spans="1:53" x14ac:dyDescent="0.25">
      <c r="A32" s="6" t="s">
        <v>71</v>
      </c>
      <c r="B32" s="17">
        <v>1</v>
      </c>
      <c r="C32" s="17">
        <v>1</v>
      </c>
      <c r="D32" s="17">
        <v>1</v>
      </c>
      <c r="E32" s="17">
        <v>0.84</v>
      </c>
      <c r="F32" s="17">
        <v>1</v>
      </c>
      <c r="G32" s="17">
        <v>0.53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1</v>
      </c>
      <c r="P32" s="17">
        <v>1</v>
      </c>
      <c r="Q32" s="17">
        <v>1</v>
      </c>
      <c r="R32" s="17">
        <v>0.87</v>
      </c>
      <c r="S32" s="17">
        <v>1</v>
      </c>
      <c r="T32" s="17">
        <v>0.81</v>
      </c>
      <c r="U32" s="17">
        <v>1</v>
      </c>
      <c r="V32" s="17">
        <v>0.5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1</v>
      </c>
      <c r="AC32" s="17">
        <v>1</v>
      </c>
      <c r="AD32" s="17">
        <v>1</v>
      </c>
      <c r="AE32" s="17">
        <v>0.22</v>
      </c>
      <c r="AF32" s="16"/>
      <c r="AG32" s="17">
        <v>0.28000000000000003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1</v>
      </c>
      <c r="AP32" s="17">
        <v>0.83</v>
      </c>
      <c r="AQ32" s="17">
        <v>0.5</v>
      </c>
      <c r="AR32" s="17">
        <v>0.65</v>
      </c>
      <c r="AS32" s="17">
        <v>0.5</v>
      </c>
      <c r="AT32" s="17">
        <v>0.13</v>
      </c>
      <c r="AU32" s="17">
        <v>0</v>
      </c>
      <c r="AV32" s="17">
        <v>0</v>
      </c>
      <c r="AW32" s="17">
        <v>0</v>
      </c>
      <c r="AX32" s="17">
        <v>0.5</v>
      </c>
      <c r="AY32" s="17">
        <v>0</v>
      </c>
      <c r="AZ32" s="17">
        <v>0</v>
      </c>
      <c r="BA32" s="17">
        <v>0</v>
      </c>
    </row>
    <row r="33" spans="1:53" x14ac:dyDescent="0.25">
      <c r="A33" s="6" t="s">
        <v>60</v>
      </c>
      <c r="B33" s="17">
        <v>1</v>
      </c>
      <c r="C33" s="17">
        <v>1</v>
      </c>
      <c r="D33" s="17">
        <v>1</v>
      </c>
      <c r="E33" s="17">
        <v>0.99</v>
      </c>
      <c r="F33" s="17">
        <v>1</v>
      </c>
      <c r="G33" s="17">
        <v>0.93</v>
      </c>
      <c r="H33" s="17">
        <v>0.88</v>
      </c>
      <c r="I33" s="17">
        <v>0.4</v>
      </c>
      <c r="J33" s="17">
        <v>0.6</v>
      </c>
      <c r="K33" s="17">
        <v>0.03</v>
      </c>
      <c r="L33" s="17">
        <v>0</v>
      </c>
      <c r="M33" s="17">
        <v>0</v>
      </c>
      <c r="N33" s="17">
        <v>0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0.99</v>
      </c>
      <c r="U33" s="17">
        <v>0.99</v>
      </c>
      <c r="V33" s="17">
        <v>0.94</v>
      </c>
      <c r="W33" s="17">
        <v>0.93</v>
      </c>
      <c r="X33" s="17">
        <v>0.53</v>
      </c>
      <c r="Y33" s="17">
        <v>0.34</v>
      </c>
      <c r="Z33" s="17">
        <v>0.23</v>
      </c>
      <c r="AA33" s="17">
        <v>0.08</v>
      </c>
      <c r="AB33" s="17">
        <v>1</v>
      </c>
      <c r="AC33" s="17">
        <v>1</v>
      </c>
      <c r="AD33" s="17">
        <v>0.89</v>
      </c>
      <c r="AE33" s="17">
        <v>0.79</v>
      </c>
      <c r="AF33" s="17">
        <v>0.72</v>
      </c>
      <c r="AG33" s="16"/>
      <c r="AH33" s="17">
        <v>0.48</v>
      </c>
      <c r="AI33" s="17">
        <v>0.43</v>
      </c>
      <c r="AJ33" s="17">
        <v>0.35</v>
      </c>
      <c r="AK33" s="17">
        <v>0</v>
      </c>
      <c r="AL33" s="17">
        <v>0</v>
      </c>
      <c r="AM33" s="17">
        <v>0</v>
      </c>
      <c r="AN33" s="17">
        <v>0</v>
      </c>
      <c r="AO33" s="17">
        <v>1</v>
      </c>
      <c r="AP33" s="17">
        <v>0.78</v>
      </c>
      <c r="AQ33" s="17">
        <v>0.5</v>
      </c>
      <c r="AR33" s="17">
        <v>0.56999999999999995</v>
      </c>
      <c r="AS33" s="17">
        <v>0.67</v>
      </c>
      <c r="AT33" s="17">
        <v>0.44</v>
      </c>
      <c r="AU33" s="17">
        <v>0.27</v>
      </c>
      <c r="AV33" s="17">
        <v>0.27</v>
      </c>
      <c r="AW33" s="17">
        <v>0.16</v>
      </c>
      <c r="AX33" s="17">
        <v>0.6</v>
      </c>
      <c r="AY33" s="17">
        <v>0.09</v>
      </c>
      <c r="AZ33" s="17">
        <v>0.04</v>
      </c>
      <c r="BA33" s="17">
        <v>0.01</v>
      </c>
    </row>
    <row r="34" spans="1:53" x14ac:dyDescent="0.25">
      <c r="A34" s="6" t="s">
        <v>58</v>
      </c>
      <c r="B34" s="17">
        <v>1</v>
      </c>
      <c r="C34" s="17">
        <v>1</v>
      </c>
      <c r="D34" s="17">
        <v>1</v>
      </c>
      <c r="E34" s="17">
        <v>0.99</v>
      </c>
      <c r="F34" s="17">
        <v>1</v>
      </c>
      <c r="G34" s="17">
        <v>1</v>
      </c>
      <c r="H34" s="17">
        <v>1</v>
      </c>
      <c r="I34" s="17">
        <v>1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0</v>
      </c>
      <c r="AA34" s="17">
        <v>0</v>
      </c>
      <c r="AB34" s="17">
        <v>1</v>
      </c>
      <c r="AC34" s="17">
        <v>1</v>
      </c>
      <c r="AD34" s="17">
        <v>1</v>
      </c>
      <c r="AE34" s="17">
        <v>0.91</v>
      </c>
      <c r="AF34" s="17">
        <v>1</v>
      </c>
      <c r="AG34" s="17">
        <v>0.52</v>
      </c>
      <c r="AH34" s="16"/>
      <c r="AI34" s="17">
        <v>0.5</v>
      </c>
      <c r="AJ34" s="17">
        <v>0.5</v>
      </c>
      <c r="AK34" s="17">
        <v>0</v>
      </c>
      <c r="AL34" s="17">
        <v>0</v>
      </c>
      <c r="AM34" s="17">
        <v>0</v>
      </c>
      <c r="AN34" s="17">
        <v>0</v>
      </c>
      <c r="AO34" s="17">
        <v>1</v>
      </c>
      <c r="AP34" s="17">
        <v>1</v>
      </c>
      <c r="AQ34" s="17">
        <v>0.78</v>
      </c>
      <c r="AR34" s="17">
        <v>0.63</v>
      </c>
      <c r="AS34" s="17">
        <v>0.76</v>
      </c>
      <c r="AT34" s="17">
        <v>0.67</v>
      </c>
      <c r="AU34" s="17">
        <v>0.54</v>
      </c>
      <c r="AV34" s="17">
        <v>0</v>
      </c>
      <c r="AW34" s="17">
        <v>0</v>
      </c>
      <c r="AX34" s="17">
        <v>0.5</v>
      </c>
      <c r="AY34" s="17">
        <v>0</v>
      </c>
      <c r="AZ34" s="17">
        <v>0</v>
      </c>
      <c r="BA34" s="17">
        <v>0</v>
      </c>
    </row>
    <row r="35" spans="1:53" x14ac:dyDescent="0.25">
      <c r="A35" s="6" t="s">
        <v>53</v>
      </c>
      <c r="B35" s="17">
        <v>1</v>
      </c>
      <c r="C35" s="17">
        <v>1</v>
      </c>
      <c r="D35" s="17">
        <v>1</v>
      </c>
      <c r="E35" s="17">
        <v>0.99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0</v>
      </c>
      <c r="M35" s="17">
        <v>0</v>
      </c>
      <c r="N35" s="17">
        <v>0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0</v>
      </c>
      <c r="AB35" s="17">
        <v>1</v>
      </c>
      <c r="AC35" s="17">
        <v>1</v>
      </c>
      <c r="AD35" s="17">
        <v>1</v>
      </c>
      <c r="AE35" s="17">
        <v>0.95</v>
      </c>
      <c r="AF35" s="17">
        <v>1</v>
      </c>
      <c r="AG35" s="17">
        <v>0.56999999999999995</v>
      </c>
      <c r="AH35" s="17">
        <v>0.5</v>
      </c>
      <c r="AI35" s="16"/>
      <c r="AJ35" s="17">
        <v>0.5</v>
      </c>
      <c r="AK35" s="17">
        <v>0.5</v>
      </c>
      <c r="AL35" s="17">
        <v>0.5</v>
      </c>
      <c r="AM35" s="17">
        <v>0</v>
      </c>
      <c r="AN35" s="17">
        <v>0</v>
      </c>
      <c r="AO35" s="17">
        <v>1</v>
      </c>
      <c r="AP35" s="17">
        <v>1</v>
      </c>
      <c r="AQ35" s="17">
        <v>0.74</v>
      </c>
      <c r="AR35" s="17">
        <v>0.62</v>
      </c>
      <c r="AS35" s="17">
        <v>0.75</v>
      </c>
      <c r="AT35" s="17">
        <v>0.64</v>
      </c>
      <c r="AU35" s="17">
        <v>0.75</v>
      </c>
      <c r="AV35" s="17">
        <v>0.5</v>
      </c>
      <c r="AW35" s="17">
        <v>0</v>
      </c>
      <c r="AX35" s="17">
        <v>0.5</v>
      </c>
      <c r="AY35" s="17">
        <v>0</v>
      </c>
      <c r="AZ35" s="17">
        <v>0</v>
      </c>
      <c r="BA35" s="17">
        <v>0</v>
      </c>
    </row>
    <row r="36" spans="1:53" x14ac:dyDescent="0.25">
      <c r="A36" s="6" t="s">
        <v>48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0</v>
      </c>
      <c r="M36" s="17">
        <v>0</v>
      </c>
      <c r="N36" s="17">
        <v>0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0.9</v>
      </c>
      <c r="AF36" s="17">
        <v>1</v>
      </c>
      <c r="AG36" s="17">
        <v>0.66</v>
      </c>
      <c r="AH36" s="17">
        <v>0.5</v>
      </c>
      <c r="AI36" s="17">
        <v>0.5</v>
      </c>
      <c r="AJ36" s="16"/>
      <c r="AK36" s="17">
        <v>0.5</v>
      </c>
      <c r="AL36" s="17">
        <v>0.5</v>
      </c>
      <c r="AM36" s="17">
        <v>0.5</v>
      </c>
      <c r="AN36" s="17">
        <v>0</v>
      </c>
      <c r="AO36" s="17">
        <v>1</v>
      </c>
      <c r="AP36" s="17">
        <v>1</v>
      </c>
      <c r="AQ36" s="17">
        <v>0.76</v>
      </c>
      <c r="AR36" s="17">
        <v>0.56999999999999995</v>
      </c>
      <c r="AS36" s="17">
        <v>0.78</v>
      </c>
      <c r="AT36" s="17">
        <v>0.68</v>
      </c>
      <c r="AU36" s="17">
        <v>0.75</v>
      </c>
      <c r="AV36" s="17">
        <v>0.76</v>
      </c>
      <c r="AW36" s="17">
        <v>0.5</v>
      </c>
      <c r="AX36" s="17">
        <v>0.5</v>
      </c>
      <c r="AY36" s="17">
        <v>0</v>
      </c>
      <c r="AZ36" s="17">
        <v>0</v>
      </c>
      <c r="BA36" s="17">
        <v>0</v>
      </c>
    </row>
    <row r="37" spans="1:53" x14ac:dyDescent="0.25">
      <c r="A37" s="6" t="s">
        <v>42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0</v>
      </c>
      <c r="M37" s="17">
        <v>1</v>
      </c>
      <c r="N37" s="17">
        <v>0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0.96</v>
      </c>
      <c r="AF37" s="17">
        <v>1</v>
      </c>
      <c r="AG37" s="17">
        <v>1</v>
      </c>
      <c r="AH37" s="17">
        <v>1</v>
      </c>
      <c r="AI37" s="17">
        <v>0.5</v>
      </c>
      <c r="AJ37" s="17">
        <v>0.5</v>
      </c>
      <c r="AK37" s="16"/>
      <c r="AL37" s="17">
        <v>0.5</v>
      </c>
      <c r="AM37" s="17">
        <v>0.5</v>
      </c>
      <c r="AN37" s="17">
        <v>0.5</v>
      </c>
      <c r="AO37" s="17">
        <v>1</v>
      </c>
      <c r="AP37" s="17">
        <v>1</v>
      </c>
      <c r="AQ37" s="17">
        <v>0.77</v>
      </c>
      <c r="AR37" s="17">
        <v>0.92</v>
      </c>
      <c r="AS37" s="17">
        <v>0.76</v>
      </c>
      <c r="AT37" s="17">
        <v>0.72</v>
      </c>
      <c r="AU37" s="17">
        <v>0.74</v>
      </c>
      <c r="AV37" s="17">
        <v>0.73</v>
      </c>
      <c r="AW37" s="17">
        <v>0.74</v>
      </c>
      <c r="AX37" s="17">
        <v>1</v>
      </c>
      <c r="AY37" s="17">
        <v>0</v>
      </c>
      <c r="AZ37" s="17">
        <v>0</v>
      </c>
      <c r="BA37" s="17">
        <v>0</v>
      </c>
    </row>
    <row r="38" spans="1:53" x14ac:dyDescent="0.25">
      <c r="A38" s="6" t="s">
        <v>40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0.5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0.97</v>
      </c>
      <c r="AF38" s="17">
        <v>1</v>
      </c>
      <c r="AG38" s="17">
        <v>1</v>
      </c>
      <c r="AH38" s="17">
        <v>1</v>
      </c>
      <c r="AI38" s="17">
        <v>0.5</v>
      </c>
      <c r="AJ38" s="17">
        <v>0.5</v>
      </c>
      <c r="AK38" s="17">
        <v>0.5</v>
      </c>
      <c r="AL38" s="16"/>
      <c r="AM38" s="17">
        <v>0.5</v>
      </c>
      <c r="AN38" s="17">
        <v>0.5</v>
      </c>
      <c r="AO38" s="17">
        <v>1</v>
      </c>
      <c r="AP38" s="17">
        <v>1</v>
      </c>
      <c r="AQ38" s="17">
        <v>0.78</v>
      </c>
      <c r="AR38" s="17">
        <v>0.93</v>
      </c>
      <c r="AS38" s="17">
        <v>0.77</v>
      </c>
      <c r="AT38" s="17">
        <v>0.8</v>
      </c>
      <c r="AU38" s="17">
        <v>0.71</v>
      </c>
      <c r="AV38" s="17">
        <v>0.71</v>
      </c>
      <c r="AW38" s="17">
        <v>0.71</v>
      </c>
      <c r="AX38" s="17">
        <v>1</v>
      </c>
      <c r="AY38" s="17">
        <v>0.5</v>
      </c>
      <c r="AZ38" s="17">
        <v>0</v>
      </c>
      <c r="BA38" s="17">
        <v>0</v>
      </c>
    </row>
    <row r="39" spans="1:53" x14ac:dyDescent="0.25">
      <c r="A39" s="6" t="s">
        <v>38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0.98</v>
      </c>
      <c r="AF39" s="17">
        <v>1</v>
      </c>
      <c r="AG39" s="17">
        <v>1</v>
      </c>
      <c r="AH39" s="17">
        <v>1</v>
      </c>
      <c r="AI39" s="17">
        <v>1</v>
      </c>
      <c r="AJ39" s="17">
        <v>0.5</v>
      </c>
      <c r="AK39" s="17">
        <v>0.5</v>
      </c>
      <c r="AL39" s="17">
        <v>0.5</v>
      </c>
      <c r="AM39" s="16"/>
      <c r="AN39" s="17">
        <v>0.5</v>
      </c>
      <c r="AO39" s="17">
        <v>1</v>
      </c>
      <c r="AP39" s="17">
        <v>1</v>
      </c>
      <c r="AQ39" s="17">
        <v>0.76</v>
      </c>
      <c r="AR39" s="17">
        <v>0.92</v>
      </c>
      <c r="AS39" s="17">
        <v>1</v>
      </c>
      <c r="AT39" s="17">
        <v>0.79</v>
      </c>
      <c r="AU39" s="17">
        <v>0.74</v>
      </c>
      <c r="AV39" s="17">
        <v>0.78</v>
      </c>
      <c r="AW39" s="17">
        <v>0.78</v>
      </c>
      <c r="AX39" s="17">
        <v>1</v>
      </c>
      <c r="AY39" s="17">
        <v>0.78</v>
      </c>
      <c r="AZ39" s="17">
        <v>0.5</v>
      </c>
      <c r="BA39" s="17">
        <v>0</v>
      </c>
    </row>
    <row r="40" spans="1:53" x14ac:dyDescent="0.25">
      <c r="A40" s="6" t="s">
        <v>34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17">
        <v>1</v>
      </c>
      <c r="AJ40" s="17">
        <v>1</v>
      </c>
      <c r="AK40" s="17">
        <v>0.5</v>
      </c>
      <c r="AL40" s="17">
        <v>0.5</v>
      </c>
      <c r="AM40" s="17">
        <v>0.5</v>
      </c>
      <c r="AN40" s="16"/>
      <c r="AO40" s="17">
        <v>1</v>
      </c>
      <c r="AP40" s="17">
        <v>1</v>
      </c>
      <c r="AQ40" s="17">
        <v>0.77</v>
      </c>
      <c r="AR40" s="17">
        <v>0.91</v>
      </c>
      <c r="AS40" s="17">
        <v>1</v>
      </c>
      <c r="AT40" s="17">
        <v>0.8</v>
      </c>
      <c r="AU40" s="17">
        <v>0.74</v>
      </c>
      <c r="AV40" s="17">
        <v>0.74</v>
      </c>
      <c r="AW40" s="17">
        <v>0.74</v>
      </c>
      <c r="AX40" s="17">
        <v>1</v>
      </c>
      <c r="AY40" s="17">
        <v>0.79</v>
      </c>
      <c r="AZ40" s="17">
        <v>0.77</v>
      </c>
      <c r="BA40" s="17">
        <v>0.5</v>
      </c>
    </row>
    <row r="41" spans="1:53" x14ac:dyDescent="0.25">
      <c r="A41" s="6" t="s">
        <v>85</v>
      </c>
      <c r="B41" s="17">
        <v>0.89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1</v>
      </c>
      <c r="P41" s="17">
        <v>0</v>
      </c>
      <c r="Q41" s="17">
        <v>0.22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0.5</v>
      </c>
      <c r="AC41" s="17">
        <v>0.25</v>
      </c>
      <c r="AD41" s="17">
        <v>0.24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6"/>
      <c r="AP41" s="17">
        <v>0.5</v>
      </c>
      <c r="AQ41" s="17">
        <v>0.23</v>
      </c>
      <c r="AR41" s="17">
        <v>0.17</v>
      </c>
      <c r="AS41" s="17">
        <v>0.26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</row>
    <row r="42" spans="1:53" x14ac:dyDescent="0.25">
      <c r="A42" s="6" t="s">
        <v>81</v>
      </c>
      <c r="B42" s="17">
        <v>1</v>
      </c>
      <c r="C42" s="17">
        <v>0</v>
      </c>
      <c r="D42" s="17">
        <v>0.43</v>
      </c>
      <c r="E42" s="17">
        <v>7.0000000000000007E-2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1</v>
      </c>
      <c r="P42" s="17">
        <v>0.55000000000000004</v>
      </c>
      <c r="Q42" s="17">
        <v>1</v>
      </c>
      <c r="R42" s="17">
        <v>0.36</v>
      </c>
      <c r="S42" s="17">
        <v>0.25</v>
      </c>
      <c r="T42" s="17">
        <v>0.09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1</v>
      </c>
      <c r="AC42" s="17">
        <v>0.5</v>
      </c>
      <c r="AD42" s="17">
        <v>0.23</v>
      </c>
      <c r="AE42" s="17">
        <v>0.2</v>
      </c>
      <c r="AF42" s="17">
        <v>0.17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0.5</v>
      </c>
      <c r="AP42" s="16"/>
      <c r="AQ42" s="17">
        <v>0.5</v>
      </c>
      <c r="AR42" s="17">
        <v>0.18</v>
      </c>
      <c r="AS42" s="17">
        <v>0.26</v>
      </c>
      <c r="AT42" s="17">
        <v>0.21</v>
      </c>
      <c r="AU42" s="17">
        <v>0.26</v>
      </c>
      <c r="AV42" s="17">
        <v>0.27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</row>
    <row r="43" spans="1:53" x14ac:dyDescent="0.25">
      <c r="A43" s="6" t="s">
        <v>63</v>
      </c>
      <c r="B43" s="17">
        <v>1</v>
      </c>
      <c r="C43" s="17">
        <v>1</v>
      </c>
      <c r="D43" s="17">
        <v>1</v>
      </c>
      <c r="E43" s="17">
        <v>0.59</v>
      </c>
      <c r="F43" s="17">
        <v>1</v>
      </c>
      <c r="G43" s="17">
        <v>0.83</v>
      </c>
      <c r="H43" s="17">
        <v>0.25</v>
      </c>
      <c r="I43" s="17">
        <v>0.22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1</v>
      </c>
      <c r="P43" s="17">
        <v>1</v>
      </c>
      <c r="Q43" s="17">
        <v>1</v>
      </c>
      <c r="R43" s="17">
        <v>0.8</v>
      </c>
      <c r="S43" s="17">
        <v>1</v>
      </c>
      <c r="T43" s="17">
        <v>1</v>
      </c>
      <c r="U43" s="17">
        <v>0.67</v>
      </c>
      <c r="V43" s="17">
        <v>0.73</v>
      </c>
      <c r="W43" s="17">
        <v>0.74</v>
      </c>
      <c r="X43" s="17">
        <v>0.77</v>
      </c>
      <c r="Y43" s="17">
        <v>0.82</v>
      </c>
      <c r="Z43" s="17">
        <v>0.25</v>
      </c>
      <c r="AA43" s="17">
        <v>0.23</v>
      </c>
      <c r="AB43" s="17">
        <v>1</v>
      </c>
      <c r="AC43" s="17">
        <v>0.5</v>
      </c>
      <c r="AD43" s="17">
        <v>0.5</v>
      </c>
      <c r="AE43" s="17">
        <v>0.35</v>
      </c>
      <c r="AF43" s="17">
        <v>0.5</v>
      </c>
      <c r="AG43" s="17">
        <v>0.5</v>
      </c>
      <c r="AH43" s="17">
        <v>0.22</v>
      </c>
      <c r="AI43" s="17">
        <v>0.27</v>
      </c>
      <c r="AJ43" s="17">
        <v>0.25</v>
      </c>
      <c r="AK43" s="17">
        <v>0.23</v>
      </c>
      <c r="AL43" s="17">
        <v>0.23</v>
      </c>
      <c r="AM43" s="17">
        <v>0.24</v>
      </c>
      <c r="AN43" s="17">
        <v>0.24</v>
      </c>
      <c r="AO43" s="17">
        <v>0.78</v>
      </c>
      <c r="AP43" s="17">
        <v>0.5</v>
      </c>
      <c r="AQ43" s="16"/>
      <c r="AR43" s="17">
        <v>0.32</v>
      </c>
      <c r="AS43" s="17">
        <v>0.5</v>
      </c>
      <c r="AT43" s="17">
        <v>0.5</v>
      </c>
      <c r="AU43" s="17">
        <v>0.5</v>
      </c>
      <c r="AV43" s="17">
        <v>0.5</v>
      </c>
      <c r="AW43" s="17">
        <v>0.5</v>
      </c>
      <c r="AX43" s="17">
        <v>0.5</v>
      </c>
      <c r="AY43" s="17">
        <v>0.5</v>
      </c>
      <c r="AZ43" s="17">
        <v>0.27</v>
      </c>
      <c r="BA43" s="17">
        <v>0.22</v>
      </c>
    </row>
    <row r="44" spans="1:53" x14ac:dyDescent="0.25">
      <c r="A44" s="6" t="s">
        <v>62</v>
      </c>
      <c r="B44" s="17">
        <v>1</v>
      </c>
      <c r="C44" s="17">
        <v>1</v>
      </c>
      <c r="D44" s="17">
        <v>1</v>
      </c>
      <c r="E44" s="17">
        <v>0.55000000000000004</v>
      </c>
      <c r="F44" s="17">
        <v>0.97</v>
      </c>
      <c r="G44" s="17">
        <v>0.56000000000000005</v>
      </c>
      <c r="H44" s="17">
        <v>0.56000000000000005</v>
      </c>
      <c r="I44" s="17">
        <v>0.1</v>
      </c>
      <c r="J44" s="17">
        <v>7.0000000000000007E-2</v>
      </c>
      <c r="K44" s="17">
        <v>0.02</v>
      </c>
      <c r="L44" s="17">
        <v>0.02</v>
      </c>
      <c r="M44" s="17">
        <v>0.01</v>
      </c>
      <c r="N44" s="17">
        <v>0</v>
      </c>
      <c r="O44" s="17">
        <v>1</v>
      </c>
      <c r="P44" s="17">
        <v>1</v>
      </c>
      <c r="Q44" s="17">
        <v>1</v>
      </c>
      <c r="R44" s="17">
        <v>0.89</v>
      </c>
      <c r="S44" s="17">
        <v>1</v>
      </c>
      <c r="T44" s="17">
        <v>0.9</v>
      </c>
      <c r="U44" s="17">
        <v>0.81</v>
      </c>
      <c r="V44" s="17">
        <v>0.46</v>
      </c>
      <c r="W44" s="17">
        <v>0.43</v>
      </c>
      <c r="X44" s="17">
        <v>0.24</v>
      </c>
      <c r="Y44" s="17">
        <v>0.26</v>
      </c>
      <c r="Z44" s="17">
        <v>0.09</v>
      </c>
      <c r="AA44" s="17">
        <v>0.09</v>
      </c>
      <c r="AB44" s="17">
        <v>1</v>
      </c>
      <c r="AC44" s="17">
        <v>1</v>
      </c>
      <c r="AD44" s="17">
        <v>1</v>
      </c>
      <c r="AE44" s="17">
        <v>0.44</v>
      </c>
      <c r="AF44" s="17">
        <v>0.36</v>
      </c>
      <c r="AG44" s="17">
        <v>0.43</v>
      </c>
      <c r="AH44" s="17">
        <v>0.38</v>
      </c>
      <c r="AI44" s="17">
        <v>0.39</v>
      </c>
      <c r="AJ44" s="17">
        <v>0.43</v>
      </c>
      <c r="AK44" s="17">
        <v>0.08</v>
      </c>
      <c r="AL44" s="17">
        <v>7.0000000000000007E-2</v>
      </c>
      <c r="AM44" s="17">
        <v>0.09</v>
      </c>
      <c r="AN44" s="17">
        <v>0.1</v>
      </c>
      <c r="AO44" s="17">
        <v>0.84</v>
      </c>
      <c r="AP44" s="17">
        <v>0.67</v>
      </c>
      <c r="AQ44" s="17">
        <v>0.69</v>
      </c>
      <c r="AR44" s="16"/>
      <c r="AS44" s="17">
        <v>0.66</v>
      </c>
      <c r="AT44" s="17">
        <v>0.65</v>
      </c>
      <c r="AU44" s="17">
        <v>0.48</v>
      </c>
      <c r="AV44" s="17">
        <v>0.5</v>
      </c>
      <c r="AW44" s="17">
        <v>0.52</v>
      </c>
      <c r="AX44" s="17">
        <v>0.43</v>
      </c>
      <c r="AY44" s="17">
        <v>0.47</v>
      </c>
      <c r="AZ44" s="17">
        <v>0.43</v>
      </c>
      <c r="BA44" s="17">
        <v>0.44</v>
      </c>
    </row>
    <row r="45" spans="1:53" x14ac:dyDescent="0.25">
      <c r="A45" s="6" t="s">
        <v>64</v>
      </c>
      <c r="B45" s="17">
        <v>1</v>
      </c>
      <c r="C45" s="17">
        <v>1</v>
      </c>
      <c r="D45" s="17">
        <v>1</v>
      </c>
      <c r="E45" s="17">
        <v>0.81</v>
      </c>
      <c r="F45" s="17">
        <v>0.89</v>
      </c>
      <c r="G45" s="17">
        <v>0.77</v>
      </c>
      <c r="H45" s="17">
        <v>0.5</v>
      </c>
      <c r="I45" s="17">
        <v>0.5</v>
      </c>
      <c r="J45" s="17">
        <v>0.26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1</v>
      </c>
      <c r="Q45" s="17">
        <v>1</v>
      </c>
      <c r="R45" s="17">
        <v>0.89</v>
      </c>
      <c r="S45" s="17">
        <v>1</v>
      </c>
      <c r="T45" s="17">
        <v>0.96</v>
      </c>
      <c r="U45" s="17">
        <v>0.86</v>
      </c>
      <c r="V45" s="17">
        <v>0.92</v>
      </c>
      <c r="W45" s="17">
        <v>0.86</v>
      </c>
      <c r="X45" s="17">
        <v>0.49</v>
      </c>
      <c r="Y45" s="17">
        <v>0.23</v>
      </c>
      <c r="Z45" s="17">
        <v>0</v>
      </c>
      <c r="AA45" s="17">
        <v>0</v>
      </c>
      <c r="AB45" s="17">
        <v>1</v>
      </c>
      <c r="AC45" s="17">
        <v>1</v>
      </c>
      <c r="AD45" s="17">
        <v>1</v>
      </c>
      <c r="AE45" s="17">
        <v>0.65</v>
      </c>
      <c r="AF45" s="17">
        <v>0.5</v>
      </c>
      <c r="AG45" s="17">
        <v>0.33</v>
      </c>
      <c r="AH45" s="17">
        <v>0.25</v>
      </c>
      <c r="AI45" s="17">
        <v>0.26</v>
      </c>
      <c r="AJ45" s="17">
        <v>0.23</v>
      </c>
      <c r="AK45" s="17">
        <v>0.25</v>
      </c>
      <c r="AL45" s="17">
        <v>0.24</v>
      </c>
      <c r="AM45" s="17">
        <v>0</v>
      </c>
      <c r="AN45" s="17">
        <v>0</v>
      </c>
      <c r="AO45" s="17">
        <v>0.75</v>
      </c>
      <c r="AP45" s="17">
        <v>0.5</v>
      </c>
      <c r="AQ45" s="17">
        <v>0.5</v>
      </c>
      <c r="AR45" s="17">
        <v>0.34</v>
      </c>
      <c r="AS45" s="16"/>
      <c r="AT45" s="17">
        <v>0.51</v>
      </c>
      <c r="AU45" s="17">
        <v>0.5</v>
      </c>
      <c r="AV45" s="17">
        <v>0.5</v>
      </c>
      <c r="AW45" s="17">
        <v>0.23</v>
      </c>
      <c r="AX45" s="17">
        <v>0.27</v>
      </c>
      <c r="AY45" s="17">
        <v>0.25</v>
      </c>
      <c r="AZ45" s="17">
        <v>0.27</v>
      </c>
      <c r="BA45" s="17">
        <v>0.24</v>
      </c>
    </row>
    <row r="46" spans="1:53" x14ac:dyDescent="0.25">
      <c r="A46" s="6" t="s">
        <v>56</v>
      </c>
      <c r="B46" s="17">
        <v>1</v>
      </c>
      <c r="C46" s="17">
        <v>1</v>
      </c>
      <c r="D46" s="17">
        <v>1</v>
      </c>
      <c r="E46" s="17">
        <v>0.87</v>
      </c>
      <c r="F46" s="17">
        <v>1</v>
      </c>
      <c r="G46" s="17">
        <v>0.97</v>
      </c>
      <c r="H46" s="17">
        <v>0.83</v>
      </c>
      <c r="I46" s="17">
        <v>0.81</v>
      </c>
      <c r="J46" s="17">
        <v>0.7</v>
      </c>
      <c r="K46" s="17">
        <v>0.56999999999999995</v>
      </c>
      <c r="L46" s="17">
        <v>0.1</v>
      </c>
      <c r="M46" s="17">
        <v>0.42</v>
      </c>
      <c r="N46" s="17">
        <v>0.01</v>
      </c>
      <c r="O46" s="17">
        <v>1</v>
      </c>
      <c r="P46" s="17">
        <v>1</v>
      </c>
      <c r="Q46" s="17">
        <v>1</v>
      </c>
      <c r="R46" s="17">
        <v>0.94</v>
      </c>
      <c r="S46" s="17">
        <v>1</v>
      </c>
      <c r="T46" s="17">
        <v>0.99</v>
      </c>
      <c r="U46" s="17">
        <v>0.98</v>
      </c>
      <c r="V46" s="17">
        <v>0.96</v>
      </c>
      <c r="W46" s="17">
        <v>0.94</v>
      </c>
      <c r="X46" s="17">
        <v>0.89</v>
      </c>
      <c r="Y46" s="17">
        <v>0.82</v>
      </c>
      <c r="Z46" s="17">
        <v>0.77</v>
      </c>
      <c r="AA46" s="17">
        <v>0.44</v>
      </c>
      <c r="AB46" s="17">
        <v>1</v>
      </c>
      <c r="AC46" s="17">
        <v>1</v>
      </c>
      <c r="AD46" s="17">
        <v>0.49</v>
      </c>
      <c r="AE46" s="17">
        <v>0.62</v>
      </c>
      <c r="AF46" s="17">
        <v>0.88</v>
      </c>
      <c r="AG46" s="17">
        <v>0.56000000000000005</v>
      </c>
      <c r="AH46" s="17">
        <v>0.33</v>
      </c>
      <c r="AI46" s="17">
        <v>0.37</v>
      </c>
      <c r="AJ46" s="17">
        <v>0.32</v>
      </c>
      <c r="AK46" s="17">
        <v>0.28000000000000003</v>
      </c>
      <c r="AL46" s="17">
        <v>0.21</v>
      </c>
      <c r="AM46" s="17">
        <v>0.22</v>
      </c>
      <c r="AN46" s="17">
        <v>0.21</v>
      </c>
      <c r="AO46" s="17">
        <v>1</v>
      </c>
      <c r="AP46" s="17">
        <v>0.8</v>
      </c>
      <c r="AQ46" s="17">
        <v>0.5</v>
      </c>
      <c r="AR46" s="17">
        <v>0.36</v>
      </c>
      <c r="AS46" s="17">
        <v>0.49</v>
      </c>
      <c r="AT46" s="16"/>
      <c r="AU46" s="17">
        <v>0.43</v>
      </c>
      <c r="AV46" s="17">
        <v>0.45</v>
      </c>
      <c r="AW46" s="17">
        <v>0.41</v>
      </c>
      <c r="AX46" s="17">
        <v>0.39</v>
      </c>
      <c r="AY46" s="17">
        <v>0.39</v>
      </c>
      <c r="AZ46" s="17">
        <v>0.37</v>
      </c>
      <c r="BA46" s="17">
        <v>0.32</v>
      </c>
    </row>
    <row r="47" spans="1:53" x14ac:dyDescent="0.25">
      <c r="A47" s="6" t="s">
        <v>54</v>
      </c>
      <c r="B47" s="17">
        <v>1</v>
      </c>
      <c r="C47" s="17">
        <v>1</v>
      </c>
      <c r="D47" s="17">
        <v>1</v>
      </c>
      <c r="E47" s="17">
        <v>0.94</v>
      </c>
      <c r="F47" s="17">
        <v>1</v>
      </c>
      <c r="G47" s="17">
        <v>1</v>
      </c>
      <c r="H47" s="17">
        <v>1</v>
      </c>
      <c r="I47" s="17">
        <v>0.91</v>
      </c>
      <c r="J47" s="17">
        <v>0.5</v>
      </c>
      <c r="K47" s="17">
        <v>0.48</v>
      </c>
      <c r="L47" s="17">
        <v>0</v>
      </c>
      <c r="M47" s="17">
        <v>0.14000000000000001</v>
      </c>
      <c r="N47" s="17">
        <v>0.13</v>
      </c>
      <c r="O47" s="17">
        <v>1</v>
      </c>
      <c r="P47" s="17">
        <v>1</v>
      </c>
      <c r="Q47" s="17">
        <v>1</v>
      </c>
      <c r="R47" s="17">
        <v>1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0.86</v>
      </c>
      <c r="Y47" s="17">
        <v>0.88</v>
      </c>
      <c r="Z47" s="17">
        <v>0.9</v>
      </c>
      <c r="AA47" s="17">
        <v>0.56000000000000005</v>
      </c>
      <c r="AB47" s="17">
        <v>1</v>
      </c>
      <c r="AC47" s="17">
        <v>1</v>
      </c>
      <c r="AD47" s="17">
        <v>1</v>
      </c>
      <c r="AE47" s="17">
        <v>0.67</v>
      </c>
      <c r="AF47" s="17">
        <v>1</v>
      </c>
      <c r="AG47" s="17">
        <v>0.74</v>
      </c>
      <c r="AH47" s="17">
        <v>0.47</v>
      </c>
      <c r="AI47" s="17">
        <v>0.26</v>
      </c>
      <c r="AJ47" s="17">
        <v>0.25</v>
      </c>
      <c r="AK47" s="17">
        <v>0.26</v>
      </c>
      <c r="AL47" s="17">
        <v>0.3</v>
      </c>
      <c r="AM47" s="17">
        <v>0.26</v>
      </c>
      <c r="AN47" s="17">
        <v>0.26</v>
      </c>
      <c r="AO47" s="17">
        <v>1</v>
      </c>
      <c r="AP47" s="17">
        <v>0.75</v>
      </c>
      <c r="AQ47" s="17">
        <v>0.5</v>
      </c>
      <c r="AR47" s="17">
        <v>0.52</v>
      </c>
      <c r="AS47" s="17">
        <v>0.5</v>
      </c>
      <c r="AT47" s="17">
        <v>0.56999999999999995</v>
      </c>
      <c r="AU47" s="16"/>
      <c r="AV47" s="17">
        <v>0.5</v>
      </c>
      <c r="AW47" s="17">
        <v>0.5</v>
      </c>
      <c r="AX47" s="17">
        <v>0.5</v>
      </c>
      <c r="AY47" s="17">
        <v>0.5</v>
      </c>
      <c r="AZ47" s="17">
        <v>0.24</v>
      </c>
      <c r="BA47" s="17">
        <v>0.3</v>
      </c>
    </row>
    <row r="48" spans="1:53" x14ac:dyDescent="0.25">
      <c r="A48" s="6" t="s">
        <v>50</v>
      </c>
      <c r="B48" s="17">
        <v>1</v>
      </c>
      <c r="C48" s="17">
        <v>1</v>
      </c>
      <c r="D48" s="17">
        <v>1</v>
      </c>
      <c r="E48" s="17">
        <v>0.98</v>
      </c>
      <c r="F48" s="17">
        <v>1</v>
      </c>
      <c r="G48" s="17">
        <v>1</v>
      </c>
      <c r="H48" s="17">
        <v>1</v>
      </c>
      <c r="I48" s="17">
        <v>0.86</v>
      </c>
      <c r="J48" s="17">
        <v>0.89</v>
      </c>
      <c r="K48" s="17">
        <v>0.86</v>
      </c>
      <c r="L48" s="17">
        <v>0</v>
      </c>
      <c r="M48" s="17">
        <v>0.53</v>
      </c>
      <c r="N48" s="17">
        <v>0.11</v>
      </c>
      <c r="O48" s="17">
        <v>1</v>
      </c>
      <c r="P48" s="17">
        <v>1</v>
      </c>
      <c r="Q48" s="17">
        <v>1</v>
      </c>
      <c r="R48" s="17">
        <v>0.96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0.85</v>
      </c>
      <c r="AA48" s="17">
        <v>0.89</v>
      </c>
      <c r="AB48" s="17">
        <v>1</v>
      </c>
      <c r="AC48" s="17">
        <v>1</v>
      </c>
      <c r="AD48" s="17">
        <v>1</v>
      </c>
      <c r="AE48" s="17">
        <v>0.63</v>
      </c>
      <c r="AF48" s="17">
        <v>1</v>
      </c>
      <c r="AG48" s="17">
        <v>0.74</v>
      </c>
      <c r="AH48" s="17">
        <v>1</v>
      </c>
      <c r="AI48" s="17">
        <v>0.5</v>
      </c>
      <c r="AJ48" s="17">
        <v>0.25</v>
      </c>
      <c r="AK48" s="17">
        <v>0.28000000000000003</v>
      </c>
      <c r="AL48" s="17">
        <v>0.3</v>
      </c>
      <c r="AM48" s="17">
        <v>0.22</v>
      </c>
      <c r="AN48" s="17">
        <v>0.27</v>
      </c>
      <c r="AO48" s="17">
        <v>1</v>
      </c>
      <c r="AP48" s="17">
        <v>0.73</v>
      </c>
      <c r="AQ48" s="17">
        <v>0.5</v>
      </c>
      <c r="AR48" s="17">
        <v>0.5</v>
      </c>
      <c r="AS48" s="17">
        <v>0.5</v>
      </c>
      <c r="AT48" s="17">
        <v>0.55000000000000004</v>
      </c>
      <c r="AU48" s="17">
        <v>0.5</v>
      </c>
      <c r="AV48" s="16"/>
      <c r="AW48" s="17">
        <v>0.5</v>
      </c>
      <c r="AX48" s="17">
        <v>0.5</v>
      </c>
      <c r="AY48" s="17">
        <v>0.5</v>
      </c>
      <c r="AZ48" s="17">
        <v>0.5</v>
      </c>
      <c r="BA48" s="17">
        <v>0.25</v>
      </c>
    </row>
    <row r="49" spans="1:53" x14ac:dyDescent="0.25">
      <c r="A49" s="6" t="s">
        <v>43</v>
      </c>
      <c r="B49" s="17">
        <v>1</v>
      </c>
      <c r="C49" s="17">
        <v>1</v>
      </c>
      <c r="D49" s="17">
        <v>1</v>
      </c>
      <c r="E49" s="17">
        <v>0.97</v>
      </c>
      <c r="F49" s="17">
        <v>1</v>
      </c>
      <c r="G49" s="17">
        <v>1</v>
      </c>
      <c r="H49" s="17">
        <v>1</v>
      </c>
      <c r="I49" s="17">
        <v>1</v>
      </c>
      <c r="J49" s="17">
        <v>0.89</v>
      </c>
      <c r="K49" s="17">
        <v>0.87</v>
      </c>
      <c r="L49" s="17">
        <v>0.31</v>
      </c>
      <c r="M49" s="17">
        <v>0.49</v>
      </c>
      <c r="N49" s="17">
        <v>0.5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0.87</v>
      </c>
      <c r="AA49" s="17">
        <v>0.83</v>
      </c>
      <c r="AB49" s="17">
        <v>1</v>
      </c>
      <c r="AC49" s="17">
        <v>1</v>
      </c>
      <c r="AD49" s="17">
        <v>1</v>
      </c>
      <c r="AE49" s="17">
        <v>0.7</v>
      </c>
      <c r="AF49" s="17">
        <v>1</v>
      </c>
      <c r="AG49" s="17">
        <v>0.85</v>
      </c>
      <c r="AH49" s="17">
        <v>1</v>
      </c>
      <c r="AI49" s="17">
        <v>1</v>
      </c>
      <c r="AJ49" s="17">
        <v>0.5</v>
      </c>
      <c r="AK49" s="17">
        <v>0.26</v>
      </c>
      <c r="AL49" s="17">
        <v>0.3</v>
      </c>
      <c r="AM49" s="17">
        <v>0.22</v>
      </c>
      <c r="AN49" s="17">
        <v>0.26</v>
      </c>
      <c r="AO49" s="17">
        <v>1</v>
      </c>
      <c r="AP49" s="17">
        <v>0.73</v>
      </c>
      <c r="AQ49" s="17">
        <v>0.5</v>
      </c>
      <c r="AR49" s="17">
        <v>0.49</v>
      </c>
      <c r="AS49" s="17">
        <v>0.77</v>
      </c>
      <c r="AT49" s="17">
        <v>0.6</v>
      </c>
      <c r="AU49" s="17">
        <v>0.5</v>
      </c>
      <c r="AV49" s="17">
        <v>0.5</v>
      </c>
      <c r="AW49" s="16"/>
      <c r="AX49" s="17">
        <v>0.5</v>
      </c>
      <c r="AY49" s="17">
        <v>0.5</v>
      </c>
      <c r="AZ49" s="17">
        <v>0.5</v>
      </c>
      <c r="BA49" s="17">
        <v>0.5</v>
      </c>
    </row>
    <row r="50" spans="1:53" x14ac:dyDescent="0.25">
      <c r="A50" s="6" t="s">
        <v>51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0.87</v>
      </c>
      <c r="L50" s="17">
        <v>0.25</v>
      </c>
      <c r="M50" s="17">
        <v>0.85</v>
      </c>
      <c r="N50" s="17">
        <v>0.5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0.5</v>
      </c>
      <c r="AE50" s="17">
        <v>0.6</v>
      </c>
      <c r="AF50" s="17">
        <v>0.5</v>
      </c>
      <c r="AG50" s="17">
        <v>0.4</v>
      </c>
      <c r="AH50" s="17">
        <v>0.5</v>
      </c>
      <c r="AI50" s="17">
        <v>0.5</v>
      </c>
      <c r="AJ50" s="17">
        <v>0.5</v>
      </c>
      <c r="AK50" s="17">
        <v>0</v>
      </c>
      <c r="AL50" s="17">
        <v>0</v>
      </c>
      <c r="AM50" s="17">
        <v>0</v>
      </c>
      <c r="AN50" s="17">
        <v>0</v>
      </c>
      <c r="AO50" s="17">
        <v>1</v>
      </c>
      <c r="AP50" s="17">
        <v>1</v>
      </c>
      <c r="AQ50" s="17">
        <v>0.5</v>
      </c>
      <c r="AR50" s="17">
        <v>0.56999999999999995</v>
      </c>
      <c r="AS50" s="17">
        <v>0.74</v>
      </c>
      <c r="AT50" s="17">
        <v>0.62</v>
      </c>
      <c r="AU50" s="17">
        <v>0.5</v>
      </c>
      <c r="AV50" s="17">
        <v>0.5</v>
      </c>
      <c r="AW50" s="17">
        <v>0.5</v>
      </c>
      <c r="AX50" s="16"/>
      <c r="AY50" s="17">
        <v>0.5</v>
      </c>
      <c r="AZ50" s="17">
        <v>0.5</v>
      </c>
      <c r="BA50" s="17">
        <v>0.5</v>
      </c>
    </row>
    <row r="51" spans="1:53" x14ac:dyDescent="0.25">
      <c r="A51" s="6" t="s">
        <v>41</v>
      </c>
      <c r="B51" s="17">
        <v>1</v>
      </c>
      <c r="C51" s="17">
        <v>1</v>
      </c>
      <c r="D51" s="17">
        <v>1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0.21</v>
      </c>
      <c r="M51" s="17">
        <v>0.87</v>
      </c>
      <c r="N51" s="17">
        <v>0.87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0.72</v>
      </c>
      <c r="AF51" s="17">
        <v>1</v>
      </c>
      <c r="AG51" s="17">
        <v>0.92</v>
      </c>
      <c r="AH51" s="17">
        <v>1</v>
      </c>
      <c r="AI51" s="17">
        <v>1</v>
      </c>
      <c r="AJ51" s="17">
        <v>1</v>
      </c>
      <c r="AK51" s="17">
        <v>1</v>
      </c>
      <c r="AL51" s="17">
        <v>0.5</v>
      </c>
      <c r="AM51" s="17">
        <v>0.23</v>
      </c>
      <c r="AN51" s="17">
        <v>0.21</v>
      </c>
      <c r="AO51" s="17">
        <v>1</v>
      </c>
      <c r="AP51" s="17">
        <v>1</v>
      </c>
      <c r="AQ51" s="17">
        <v>0.5</v>
      </c>
      <c r="AR51" s="17">
        <v>0.53</v>
      </c>
      <c r="AS51" s="17">
        <v>0.75</v>
      </c>
      <c r="AT51" s="17">
        <v>0.62</v>
      </c>
      <c r="AU51" s="17">
        <v>0.5</v>
      </c>
      <c r="AV51" s="17">
        <v>0.5</v>
      </c>
      <c r="AW51" s="17">
        <v>0.5</v>
      </c>
      <c r="AX51" s="17">
        <v>0.5</v>
      </c>
      <c r="AY51" s="16"/>
      <c r="AZ51" s="17">
        <v>0.5</v>
      </c>
      <c r="BA51" s="17">
        <v>0.5</v>
      </c>
    </row>
    <row r="52" spans="1:53" x14ac:dyDescent="0.25">
      <c r="A52" s="6" t="s">
        <v>39</v>
      </c>
      <c r="B52" s="17">
        <v>1</v>
      </c>
      <c r="C52" s="17">
        <v>1</v>
      </c>
      <c r="D52" s="17">
        <v>1</v>
      </c>
      <c r="E52" s="17">
        <v>0.99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0.88</v>
      </c>
      <c r="M52" s="17">
        <v>0.85</v>
      </c>
      <c r="N52" s="17">
        <v>0.85</v>
      </c>
      <c r="O52" s="17">
        <v>1</v>
      </c>
      <c r="P52" s="17">
        <v>1</v>
      </c>
      <c r="Q52" s="17">
        <v>1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7">
        <v>1</v>
      </c>
      <c r="Z52" s="17">
        <v>1</v>
      </c>
      <c r="AA52" s="17">
        <v>1</v>
      </c>
      <c r="AB52" s="17">
        <v>1</v>
      </c>
      <c r="AC52" s="17">
        <v>1</v>
      </c>
      <c r="AD52" s="17">
        <v>1</v>
      </c>
      <c r="AE52" s="17">
        <v>0.73</v>
      </c>
      <c r="AF52" s="17">
        <v>1</v>
      </c>
      <c r="AG52" s="17">
        <v>0.96</v>
      </c>
      <c r="AH52" s="17">
        <v>1</v>
      </c>
      <c r="AI52" s="17">
        <v>1</v>
      </c>
      <c r="AJ52" s="17">
        <v>1</v>
      </c>
      <c r="AK52" s="17">
        <v>1</v>
      </c>
      <c r="AL52" s="17">
        <v>1</v>
      </c>
      <c r="AM52" s="17">
        <v>0.5</v>
      </c>
      <c r="AN52" s="17">
        <v>0.24</v>
      </c>
      <c r="AO52" s="17">
        <v>1</v>
      </c>
      <c r="AP52" s="17">
        <v>1</v>
      </c>
      <c r="AQ52" s="17">
        <v>0.73</v>
      </c>
      <c r="AR52" s="17">
        <v>0.56999999999999995</v>
      </c>
      <c r="AS52" s="17">
        <v>0.73</v>
      </c>
      <c r="AT52" s="17">
        <v>0.64</v>
      </c>
      <c r="AU52" s="17">
        <v>0.76</v>
      </c>
      <c r="AV52" s="17">
        <v>0.5</v>
      </c>
      <c r="AW52" s="17">
        <v>0.5</v>
      </c>
      <c r="AX52" s="17">
        <v>0.5</v>
      </c>
      <c r="AY52" s="17">
        <v>0.5</v>
      </c>
      <c r="AZ52" s="16"/>
      <c r="BA52" s="17">
        <v>0.5</v>
      </c>
    </row>
    <row r="53" spans="1:53" x14ac:dyDescent="0.25">
      <c r="A53" s="6" t="s">
        <v>36</v>
      </c>
      <c r="B53" s="17">
        <v>1</v>
      </c>
      <c r="C53" s="17">
        <v>1</v>
      </c>
      <c r="D53" s="17">
        <v>1</v>
      </c>
      <c r="E53" s="17">
        <v>0.99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0.88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0.77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0.5</v>
      </c>
      <c r="AO53" s="17">
        <v>1</v>
      </c>
      <c r="AP53" s="17">
        <v>1</v>
      </c>
      <c r="AQ53" s="17">
        <v>0.79</v>
      </c>
      <c r="AR53" s="17">
        <v>0.56000000000000005</v>
      </c>
      <c r="AS53" s="17">
        <v>0.76</v>
      </c>
      <c r="AT53" s="17">
        <v>0.69</v>
      </c>
      <c r="AU53" s="17">
        <v>0.7</v>
      </c>
      <c r="AV53" s="17">
        <v>0.76</v>
      </c>
      <c r="AW53" s="17">
        <v>0.5</v>
      </c>
      <c r="AX53" s="17">
        <v>0.5</v>
      </c>
      <c r="AY53" s="17">
        <v>0.5</v>
      </c>
      <c r="AZ53" s="17">
        <v>0.5</v>
      </c>
      <c r="BA53" s="16"/>
    </row>
  </sheetData>
  <conditionalFormatting sqref="B2:BA53">
    <cfRule type="colorScale" priority="1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5" x14ac:dyDescent="0.25"/>
  <cols>
    <col min="1" max="1" width="12" customWidth="1"/>
    <col min="2" max="2" width="17" customWidth="1"/>
    <col min="3" max="3" width="10" customWidth="1"/>
    <col min="4" max="4" width="9" customWidth="1"/>
    <col min="5" max="6" width="18" customWidth="1"/>
    <col min="7" max="8" width="16" customWidth="1"/>
  </cols>
  <sheetData>
    <row r="1" spans="1:8" x14ac:dyDescent="0.25">
      <c r="A1" s="8" t="s">
        <v>14</v>
      </c>
      <c r="B1" s="8" t="s">
        <v>91</v>
      </c>
      <c r="C1" s="8" t="s">
        <v>27</v>
      </c>
      <c r="D1" s="8" t="s">
        <v>28</v>
      </c>
      <c r="E1" s="8" t="s">
        <v>92</v>
      </c>
      <c r="F1" s="8" t="s">
        <v>93</v>
      </c>
      <c r="G1" s="8" t="s">
        <v>94</v>
      </c>
      <c r="H1" s="8" t="s">
        <v>95</v>
      </c>
    </row>
    <row r="2" spans="1:8" x14ac:dyDescent="0.25">
      <c r="A2" s="10" t="s">
        <v>18</v>
      </c>
      <c r="B2" s="9">
        <v>48225</v>
      </c>
      <c r="C2" s="9">
        <v>32793</v>
      </c>
      <c r="D2" s="12">
        <f>C2/B2</f>
        <v>0.68</v>
      </c>
      <c r="E2" s="13">
        <v>153659408</v>
      </c>
      <c r="F2" s="13">
        <v>19354244</v>
      </c>
      <c r="G2" s="13">
        <f>E2/B2</f>
        <v>3186.3018766200103</v>
      </c>
      <c r="H2" s="13">
        <f>F2/B2</f>
        <v>401.33217210990148</v>
      </c>
    </row>
    <row r="3" spans="1:8" x14ac:dyDescent="0.25">
      <c r="A3" s="10" t="s">
        <v>19</v>
      </c>
      <c r="B3" s="9">
        <v>48175</v>
      </c>
      <c r="C3" s="9">
        <v>28002</v>
      </c>
      <c r="D3" s="12">
        <f>C3/B3</f>
        <v>0.5812558380902958</v>
      </c>
      <c r="E3" s="13">
        <v>179956376</v>
      </c>
      <c r="F3" s="13">
        <v>21818358</v>
      </c>
      <c r="G3" s="13">
        <f>E3/B3</f>
        <v>3735.4722573949143</v>
      </c>
      <c r="H3" s="13">
        <f>F3/B3</f>
        <v>452.89793461338871</v>
      </c>
    </row>
    <row r="4" spans="1:8" x14ac:dyDescent="0.25">
      <c r="A4" s="10" t="s">
        <v>17</v>
      </c>
      <c r="B4" s="9">
        <v>77933</v>
      </c>
      <c r="C4" s="9">
        <v>34644</v>
      </c>
      <c r="D4" s="12">
        <f>C4/B4</f>
        <v>0.4445356909139902</v>
      </c>
      <c r="E4" s="13">
        <v>65165332</v>
      </c>
      <c r="F4" s="13">
        <v>162038123</v>
      </c>
      <c r="G4" s="13">
        <f>E4/B4</f>
        <v>836.1712240001026</v>
      </c>
      <c r="H4" s="13">
        <f>F4/B4</f>
        <v>2079.1978109401666</v>
      </c>
    </row>
    <row r="5" spans="1:8" x14ac:dyDescent="0.25">
      <c r="A5" s="10" t="s">
        <v>16</v>
      </c>
      <c r="B5" s="9">
        <v>105667</v>
      </c>
      <c r="C5" s="9">
        <v>44447</v>
      </c>
      <c r="D5" s="12">
        <f>C5/B5</f>
        <v>0.42063274248346222</v>
      </c>
      <c r="E5" s="13">
        <v>73815450</v>
      </c>
      <c r="F5" s="13">
        <v>273132136</v>
      </c>
      <c r="G5" s="13">
        <f>E5/B5</f>
        <v>698.56672376427832</v>
      </c>
      <c r="H5" s="13">
        <f>F5/B5</f>
        <v>2584.8385588688993</v>
      </c>
    </row>
  </sheetData>
  <conditionalFormatting sqref="D2:D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5" customWidth="1"/>
    <col min="2" max="2" width="8" customWidth="1"/>
    <col min="3" max="3" width="11" customWidth="1"/>
    <col min="4" max="4" width="6" customWidth="1"/>
    <col min="5" max="5" width="13" customWidth="1"/>
    <col min="6" max="7" width="9" customWidth="1"/>
    <col min="8" max="9" width="15" customWidth="1"/>
    <col min="10" max="11" width="16" customWidth="1"/>
  </cols>
  <sheetData>
    <row r="1" spans="1:11" x14ac:dyDescent="0.25">
      <c r="A1" s="8" t="s">
        <v>23</v>
      </c>
      <c r="B1" s="8" t="s">
        <v>24</v>
      </c>
      <c r="C1" s="8" t="s">
        <v>14</v>
      </c>
      <c r="D1" s="8" t="s">
        <v>25</v>
      </c>
      <c r="E1" s="8" t="s">
        <v>96</v>
      </c>
      <c r="F1" s="8" t="s">
        <v>27</v>
      </c>
      <c r="G1" s="8" t="s">
        <v>28</v>
      </c>
      <c r="H1" s="8" t="s">
        <v>97</v>
      </c>
      <c r="I1" s="8" t="s">
        <v>98</v>
      </c>
      <c r="J1" s="8" t="s">
        <v>99</v>
      </c>
      <c r="K1" s="8" t="s">
        <v>100</v>
      </c>
    </row>
    <row r="2" spans="1:11" x14ac:dyDescent="0.25">
      <c r="A2" s="9">
        <v>1</v>
      </c>
      <c r="B2" s="10" t="s">
        <v>34</v>
      </c>
      <c r="C2" s="11" t="s">
        <v>35</v>
      </c>
      <c r="D2" s="9">
        <v>14</v>
      </c>
      <c r="E2" s="9">
        <v>9672</v>
      </c>
      <c r="F2" s="9">
        <v>8564</v>
      </c>
      <c r="G2" s="12">
        <f t="shared" ref="G2:G33" si="0">IF(E2=0,0,F2/E2)</f>
        <v>0.88544251447477251</v>
      </c>
      <c r="H2" s="13">
        <v>46235743</v>
      </c>
      <c r="I2" s="13">
        <v>1539611</v>
      </c>
      <c r="J2" s="13">
        <f t="shared" ref="J2:J33" si="1">IF(E2=0,0,H2/E2)</f>
        <v>4780.3704507857738</v>
      </c>
      <c r="K2" s="13">
        <f t="shared" ref="K2:K33" si="2">IF(E2=0,0,I2/E2)</f>
        <v>159.18227874276261</v>
      </c>
    </row>
    <row r="3" spans="1:11" x14ac:dyDescent="0.25">
      <c r="A3" s="9">
        <v>2</v>
      </c>
      <c r="B3" s="10" t="s">
        <v>42</v>
      </c>
      <c r="C3" s="11" t="s">
        <v>35</v>
      </c>
      <c r="D3" s="9">
        <v>11</v>
      </c>
      <c r="E3" s="9">
        <v>6542</v>
      </c>
      <c r="F3" s="9">
        <v>4396</v>
      </c>
      <c r="G3" s="12">
        <f t="shared" si="0"/>
        <v>0.67196575970651173</v>
      </c>
      <c r="H3" s="13">
        <v>22647327</v>
      </c>
      <c r="I3" s="13">
        <v>2823881</v>
      </c>
      <c r="J3" s="13">
        <f t="shared" si="1"/>
        <v>3461.8353714460409</v>
      </c>
      <c r="K3" s="13">
        <f t="shared" si="2"/>
        <v>431.65408132069706</v>
      </c>
    </row>
    <row r="4" spans="1:11" x14ac:dyDescent="0.25">
      <c r="A4" s="9">
        <v>3</v>
      </c>
      <c r="B4" s="10" t="s">
        <v>40</v>
      </c>
      <c r="C4" s="11" t="s">
        <v>35</v>
      </c>
      <c r="D4" s="9">
        <v>12</v>
      </c>
      <c r="E4" s="9">
        <v>7935</v>
      </c>
      <c r="F4" s="9">
        <v>5232</v>
      </c>
      <c r="G4" s="12">
        <f t="shared" si="0"/>
        <v>0.65935727788279774</v>
      </c>
      <c r="H4" s="13">
        <v>23271028</v>
      </c>
      <c r="I4" s="13">
        <v>3587615</v>
      </c>
      <c r="J4" s="13">
        <f t="shared" si="1"/>
        <v>2932.7067422810333</v>
      </c>
      <c r="K4" s="13">
        <f t="shared" si="2"/>
        <v>452.12539382482674</v>
      </c>
    </row>
    <row r="5" spans="1:11" x14ac:dyDescent="0.25">
      <c r="A5" s="9">
        <v>4</v>
      </c>
      <c r="B5" s="10" t="s">
        <v>38</v>
      </c>
      <c r="C5" s="11" t="s">
        <v>35</v>
      </c>
      <c r="D5" s="9">
        <v>13</v>
      </c>
      <c r="E5" s="9">
        <v>8895</v>
      </c>
      <c r="F5" s="9">
        <v>5853</v>
      </c>
      <c r="G5" s="12">
        <f t="shared" si="0"/>
        <v>0.6580101180438449</v>
      </c>
      <c r="H5" s="13">
        <v>30720799</v>
      </c>
      <c r="I5" s="13">
        <v>4721845</v>
      </c>
      <c r="J5" s="13">
        <f t="shared" si="1"/>
        <v>3453.7154581225409</v>
      </c>
      <c r="K5" s="13">
        <f t="shared" si="2"/>
        <v>530.84260820685779</v>
      </c>
    </row>
    <row r="6" spans="1:11" x14ac:dyDescent="0.25">
      <c r="A6" s="9">
        <v>5</v>
      </c>
      <c r="B6" s="10" t="s">
        <v>48</v>
      </c>
      <c r="C6" s="11" t="s">
        <v>35</v>
      </c>
      <c r="D6" s="9">
        <v>10</v>
      </c>
      <c r="E6" s="9">
        <v>5354</v>
      </c>
      <c r="F6" s="9">
        <v>3468</v>
      </c>
      <c r="G6" s="12">
        <f t="shared" si="0"/>
        <v>0.64774000747104965</v>
      </c>
      <c r="H6" s="13">
        <v>11952846</v>
      </c>
      <c r="I6" s="13">
        <v>2343572</v>
      </c>
      <c r="J6" s="13">
        <f t="shared" si="1"/>
        <v>2232.5076578259245</v>
      </c>
      <c r="K6" s="13">
        <f t="shared" si="2"/>
        <v>437.72357116174823</v>
      </c>
    </row>
    <row r="7" spans="1:11" x14ac:dyDescent="0.25">
      <c r="A7" s="9">
        <v>6</v>
      </c>
      <c r="B7" s="10" t="s">
        <v>36</v>
      </c>
      <c r="C7" s="11" t="s">
        <v>37</v>
      </c>
      <c r="D7" s="9">
        <v>14</v>
      </c>
      <c r="E7" s="9">
        <v>9944</v>
      </c>
      <c r="F7" s="9">
        <v>6265</v>
      </c>
      <c r="G7" s="12">
        <f t="shared" si="0"/>
        <v>0.63002815768302489</v>
      </c>
      <c r="H7" s="13">
        <v>50568660</v>
      </c>
      <c r="I7" s="13">
        <v>4848553</v>
      </c>
      <c r="J7" s="13">
        <f t="shared" si="1"/>
        <v>5085.3439259855186</v>
      </c>
      <c r="K7" s="13">
        <f t="shared" si="2"/>
        <v>487.58578037007243</v>
      </c>
    </row>
    <row r="8" spans="1:11" x14ac:dyDescent="0.25">
      <c r="A8" s="9">
        <v>7</v>
      </c>
      <c r="B8" s="10" t="s">
        <v>39</v>
      </c>
      <c r="C8" s="11" t="s">
        <v>37</v>
      </c>
      <c r="D8" s="9">
        <v>13</v>
      </c>
      <c r="E8" s="9">
        <v>8654</v>
      </c>
      <c r="F8" s="9">
        <v>5320</v>
      </c>
      <c r="G8" s="12">
        <f t="shared" si="0"/>
        <v>0.61474462676219088</v>
      </c>
      <c r="H8" s="13">
        <v>39506371</v>
      </c>
      <c r="I8" s="13">
        <v>4066856</v>
      </c>
      <c r="J8" s="13">
        <f t="shared" si="1"/>
        <v>4565.0994915645942</v>
      </c>
      <c r="K8" s="13">
        <f t="shared" si="2"/>
        <v>469.93944996533395</v>
      </c>
    </row>
    <row r="9" spans="1:11" x14ac:dyDescent="0.25">
      <c r="A9" s="9">
        <v>8</v>
      </c>
      <c r="B9" s="10" t="s">
        <v>43</v>
      </c>
      <c r="C9" s="11" t="s">
        <v>37</v>
      </c>
      <c r="D9" s="9">
        <v>10</v>
      </c>
      <c r="E9" s="9">
        <v>5449</v>
      </c>
      <c r="F9" s="9">
        <v>3258</v>
      </c>
      <c r="G9" s="12">
        <f t="shared" si="0"/>
        <v>0.59790787300422099</v>
      </c>
      <c r="H9" s="13">
        <v>16160766</v>
      </c>
      <c r="I9" s="13">
        <v>2278355</v>
      </c>
      <c r="J9" s="13">
        <f t="shared" si="1"/>
        <v>2965.8223527252708</v>
      </c>
      <c r="K9" s="13">
        <f t="shared" si="2"/>
        <v>418.12350890071571</v>
      </c>
    </row>
    <row r="10" spans="1:11" x14ac:dyDescent="0.25">
      <c r="A10" s="9">
        <v>9</v>
      </c>
      <c r="B10" s="10" t="s">
        <v>73</v>
      </c>
      <c r="C10" s="11" t="s">
        <v>35</v>
      </c>
      <c r="D10" s="9">
        <v>4</v>
      </c>
      <c r="E10" s="9">
        <v>108</v>
      </c>
      <c r="F10" s="9">
        <v>64</v>
      </c>
      <c r="G10" s="12">
        <f t="shared" si="0"/>
        <v>0.59259259259259256</v>
      </c>
      <c r="H10" s="13">
        <v>178424</v>
      </c>
      <c r="I10" s="13">
        <v>46141</v>
      </c>
      <c r="J10" s="13">
        <f t="shared" si="1"/>
        <v>1652.0740740740741</v>
      </c>
      <c r="K10" s="13">
        <f t="shared" si="2"/>
        <v>427.23148148148147</v>
      </c>
    </row>
    <row r="11" spans="1:11" x14ac:dyDescent="0.25">
      <c r="A11" s="9">
        <v>10</v>
      </c>
      <c r="B11" s="10" t="s">
        <v>41</v>
      </c>
      <c r="C11" s="11" t="s">
        <v>37</v>
      </c>
      <c r="D11" s="9">
        <v>12</v>
      </c>
      <c r="E11" s="9">
        <v>7791</v>
      </c>
      <c r="F11" s="9">
        <v>4566</v>
      </c>
      <c r="G11" s="12">
        <f t="shared" si="0"/>
        <v>0.58606083943011167</v>
      </c>
      <c r="H11" s="13">
        <v>30151922</v>
      </c>
      <c r="I11" s="13">
        <v>3653467</v>
      </c>
      <c r="J11" s="13">
        <f t="shared" si="1"/>
        <v>3870.096521627519</v>
      </c>
      <c r="K11" s="13">
        <f t="shared" si="2"/>
        <v>468.93428314722115</v>
      </c>
    </row>
    <row r="12" spans="1:11" x14ac:dyDescent="0.25">
      <c r="A12" s="9">
        <v>11</v>
      </c>
      <c r="B12" s="10" t="s">
        <v>53</v>
      </c>
      <c r="C12" s="11" t="s">
        <v>35</v>
      </c>
      <c r="D12" s="9">
        <v>9</v>
      </c>
      <c r="E12" s="9">
        <v>4073</v>
      </c>
      <c r="F12" s="9">
        <v>2343</v>
      </c>
      <c r="G12" s="12">
        <f t="shared" si="0"/>
        <v>0.57525165725509453</v>
      </c>
      <c r="H12" s="13">
        <v>8562073</v>
      </c>
      <c r="I12" s="13">
        <v>1787623</v>
      </c>
      <c r="J12" s="13">
        <f t="shared" si="1"/>
        <v>2102.1539405843359</v>
      </c>
      <c r="K12" s="13">
        <f t="shared" si="2"/>
        <v>438.89589982813652</v>
      </c>
    </row>
    <row r="13" spans="1:11" x14ac:dyDescent="0.25">
      <c r="A13" s="9">
        <v>12</v>
      </c>
      <c r="B13" s="10" t="s">
        <v>51</v>
      </c>
      <c r="C13" s="11" t="s">
        <v>37</v>
      </c>
      <c r="D13" s="9">
        <v>11</v>
      </c>
      <c r="E13" s="9">
        <v>6397</v>
      </c>
      <c r="F13" s="9">
        <v>3555</v>
      </c>
      <c r="G13" s="12">
        <f t="shared" si="0"/>
        <v>0.55572924808503987</v>
      </c>
      <c r="H13" s="13">
        <v>19591359</v>
      </c>
      <c r="I13" s="13">
        <v>2875195</v>
      </c>
      <c r="J13" s="13">
        <f t="shared" si="1"/>
        <v>3062.5854306706269</v>
      </c>
      <c r="K13" s="13">
        <f t="shared" si="2"/>
        <v>449.45990307956856</v>
      </c>
    </row>
    <row r="14" spans="1:11" x14ac:dyDescent="0.25">
      <c r="A14" s="9">
        <v>13</v>
      </c>
      <c r="B14" s="10" t="s">
        <v>58</v>
      </c>
      <c r="C14" s="11" t="s">
        <v>35</v>
      </c>
      <c r="D14" s="9">
        <v>8</v>
      </c>
      <c r="E14" s="9">
        <v>2521</v>
      </c>
      <c r="F14" s="9">
        <v>1335</v>
      </c>
      <c r="G14" s="12">
        <f t="shared" si="0"/>
        <v>0.52955176517255054</v>
      </c>
      <c r="H14" s="13">
        <v>4611608</v>
      </c>
      <c r="I14" s="13">
        <v>1111795</v>
      </c>
      <c r="J14" s="13">
        <f t="shared" si="1"/>
        <v>1829.2772709242365</v>
      </c>
      <c r="K14" s="13">
        <f t="shared" si="2"/>
        <v>441.01348671162236</v>
      </c>
    </row>
    <row r="15" spans="1:11" x14ac:dyDescent="0.25">
      <c r="A15" s="9">
        <v>14</v>
      </c>
      <c r="B15" s="10" t="s">
        <v>57</v>
      </c>
      <c r="C15" s="11" t="s">
        <v>47</v>
      </c>
      <c r="D15" s="9">
        <v>12</v>
      </c>
      <c r="E15" s="9">
        <v>10440</v>
      </c>
      <c r="F15" s="9">
        <v>5506</v>
      </c>
      <c r="G15" s="12">
        <f t="shared" si="0"/>
        <v>0.52739463601532566</v>
      </c>
      <c r="H15" s="13">
        <v>7403041</v>
      </c>
      <c r="I15" s="13">
        <v>21366234</v>
      </c>
      <c r="J15" s="13">
        <f t="shared" si="1"/>
        <v>709.10354406130273</v>
      </c>
      <c r="K15" s="13">
        <f t="shared" si="2"/>
        <v>2046.5741379310346</v>
      </c>
    </row>
    <row r="16" spans="1:11" x14ac:dyDescent="0.25">
      <c r="A16" s="9">
        <v>15</v>
      </c>
      <c r="B16" s="10" t="s">
        <v>60</v>
      </c>
      <c r="C16" s="11" t="s">
        <v>35</v>
      </c>
      <c r="D16" s="9">
        <v>7</v>
      </c>
      <c r="E16" s="9">
        <v>1734</v>
      </c>
      <c r="F16" s="9">
        <v>909</v>
      </c>
      <c r="G16" s="12">
        <f t="shared" si="0"/>
        <v>0.52422145328719727</v>
      </c>
      <c r="H16" s="13">
        <v>3358145</v>
      </c>
      <c r="I16" s="13">
        <v>758918</v>
      </c>
      <c r="J16" s="13">
        <f t="shared" si="1"/>
        <v>1936.6464821222607</v>
      </c>
      <c r="K16" s="13">
        <f t="shared" si="2"/>
        <v>437.66897347174165</v>
      </c>
    </row>
    <row r="17" spans="1:11" x14ac:dyDescent="0.25">
      <c r="A17" s="9">
        <v>16</v>
      </c>
      <c r="B17" s="10" t="s">
        <v>50</v>
      </c>
      <c r="C17" s="11" t="s">
        <v>37</v>
      </c>
      <c r="D17" s="9">
        <v>9</v>
      </c>
      <c r="E17" s="9">
        <v>4132</v>
      </c>
      <c r="F17" s="9">
        <v>2162</v>
      </c>
      <c r="G17" s="12">
        <f t="shared" si="0"/>
        <v>0.52323330106485966</v>
      </c>
      <c r="H17" s="13">
        <v>10900006</v>
      </c>
      <c r="I17" s="13">
        <v>1787450</v>
      </c>
      <c r="J17" s="13">
        <f t="shared" si="1"/>
        <v>2637.9491771539206</v>
      </c>
      <c r="K17" s="13">
        <f t="shared" si="2"/>
        <v>432.58712487899322</v>
      </c>
    </row>
    <row r="18" spans="1:11" x14ac:dyDescent="0.25">
      <c r="A18" s="9">
        <v>17</v>
      </c>
      <c r="B18" s="10" t="s">
        <v>54</v>
      </c>
      <c r="C18" s="11" t="s">
        <v>37</v>
      </c>
      <c r="D18" s="9">
        <v>8</v>
      </c>
      <c r="E18" s="9">
        <v>2449</v>
      </c>
      <c r="F18" s="9">
        <v>1261</v>
      </c>
      <c r="G18" s="12">
        <f t="shared" si="0"/>
        <v>0.51490404246631283</v>
      </c>
      <c r="H18" s="13">
        <v>5743575</v>
      </c>
      <c r="I18" s="13">
        <v>986172</v>
      </c>
      <c r="J18" s="13">
        <f t="shared" si="1"/>
        <v>2345.2735810534914</v>
      </c>
      <c r="K18" s="13">
        <f t="shared" si="2"/>
        <v>402.68354430379748</v>
      </c>
    </row>
    <row r="19" spans="1:11" x14ac:dyDescent="0.25">
      <c r="A19" s="9">
        <v>18</v>
      </c>
      <c r="B19" s="10" t="s">
        <v>56</v>
      </c>
      <c r="C19" s="11" t="s">
        <v>37</v>
      </c>
      <c r="D19" s="9">
        <v>7</v>
      </c>
      <c r="E19" s="9">
        <v>1757</v>
      </c>
      <c r="F19" s="9">
        <v>885</v>
      </c>
      <c r="G19" s="12">
        <f t="shared" si="0"/>
        <v>0.50369948776323281</v>
      </c>
      <c r="H19" s="13">
        <v>4320612</v>
      </c>
      <c r="I19" s="13">
        <v>680755</v>
      </c>
      <c r="J19" s="13">
        <f t="shared" si="1"/>
        <v>2459.0848036425728</v>
      </c>
      <c r="K19" s="13">
        <f t="shared" si="2"/>
        <v>387.45304496300514</v>
      </c>
    </row>
    <row r="20" spans="1:11" x14ac:dyDescent="0.25">
      <c r="A20" s="9">
        <v>19</v>
      </c>
      <c r="B20" s="10" t="s">
        <v>49</v>
      </c>
      <c r="C20" s="11" t="s">
        <v>45</v>
      </c>
      <c r="D20" s="9">
        <v>12</v>
      </c>
      <c r="E20" s="9">
        <v>10546</v>
      </c>
      <c r="F20" s="9">
        <v>5266</v>
      </c>
      <c r="G20" s="12">
        <f t="shared" si="0"/>
        <v>0.49933624122890197</v>
      </c>
      <c r="H20" s="13">
        <v>14869173</v>
      </c>
      <c r="I20" s="13">
        <v>28607479</v>
      </c>
      <c r="J20" s="13">
        <f t="shared" si="1"/>
        <v>1409.9348568177509</v>
      </c>
      <c r="K20" s="13">
        <f t="shared" si="2"/>
        <v>2712.6378721790252</v>
      </c>
    </row>
    <row r="21" spans="1:11" x14ac:dyDescent="0.25">
      <c r="A21" s="9">
        <v>20</v>
      </c>
      <c r="B21" s="10" t="s">
        <v>62</v>
      </c>
      <c r="C21" s="11" t="s">
        <v>37</v>
      </c>
      <c r="D21" s="9">
        <v>5</v>
      </c>
      <c r="E21" s="9">
        <v>460</v>
      </c>
      <c r="F21" s="9">
        <v>229</v>
      </c>
      <c r="G21" s="12">
        <f t="shared" si="0"/>
        <v>0.49782608695652175</v>
      </c>
      <c r="H21" s="13">
        <v>705199</v>
      </c>
      <c r="I21" s="13">
        <v>157264</v>
      </c>
      <c r="J21" s="13">
        <f t="shared" si="1"/>
        <v>1533.0413043478261</v>
      </c>
      <c r="K21" s="13">
        <f t="shared" si="2"/>
        <v>341.87826086956522</v>
      </c>
    </row>
    <row r="22" spans="1:11" x14ac:dyDescent="0.25">
      <c r="A22" s="9">
        <v>21</v>
      </c>
      <c r="B22" s="10" t="s">
        <v>68</v>
      </c>
      <c r="C22" s="11" t="s">
        <v>45</v>
      </c>
      <c r="D22" s="9">
        <v>10</v>
      </c>
      <c r="E22" s="9">
        <v>10638</v>
      </c>
      <c r="F22" s="9">
        <v>5166</v>
      </c>
      <c r="G22" s="12">
        <f t="shared" si="0"/>
        <v>0.48561759729272419</v>
      </c>
      <c r="H22" s="13">
        <v>7158854</v>
      </c>
      <c r="I22" s="13">
        <v>29756986</v>
      </c>
      <c r="J22" s="13">
        <f t="shared" si="1"/>
        <v>672.95111863132172</v>
      </c>
      <c r="K22" s="13">
        <f t="shared" si="2"/>
        <v>2797.2350065801843</v>
      </c>
    </row>
    <row r="23" spans="1:11" x14ac:dyDescent="0.25">
      <c r="A23" s="9">
        <v>22</v>
      </c>
      <c r="B23" s="10" t="s">
        <v>65</v>
      </c>
      <c r="C23" s="11" t="s">
        <v>47</v>
      </c>
      <c r="D23" s="9">
        <v>10</v>
      </c>
      <c r="E23" s="9">
        <v>9810</v>
      </c>
      <c r="F23" s="9">
        <v>4743</v>
      </c>
      <c r="G23" s="12">
        <f t="shared" si="0"/>
        <v>0.48348623853211009</v>
      </c>
      <c r="H23" s="13">
        <v>8497123</v>
      </c>
      <c r="I23" s="13">
        <v>19912295</v>
      </c>
      <c r="J23" s="13">
        <f t="shared" si="1"/>
        <v>866.16952089704387</v>
      </c>
      <c r="K23" s="13">
        <f t="shared" si="2"/>
        <v>2029.7956167176351</v>
      </c>
    </row>
    <row r="24" spans="1:11" x14ac:dyDescent="0.25">
      <c r="A24" s="9">
        <v>23</v>
      </c>
      <c r="B24" s="10" t="s">
        <v>46</v>
      </c>
      <c r="C24" s="11" t="s">
        <v>47</v>
      </c>
      <c r="D24" s="9">
        <v>14</v>
      </c>
      <c r="E24" s="9">
        <v>10655</v>
      </c>
      <c r="F24" s="9">
        <v>5103</v>
      </c>
      <c r="G24" s="12">
        <f t="shared" si="0"/>
        <v>0.47893007977475366</v>
      </c>
      <c r="H24" s="13">
        <v>13112779</v>
      </c>
      <c r="I24" s="13">
        <v>29120120</v>
      </c>
      <c r="J24" s="13">
        <f t="shared" si="1"/>
        <v>1230.6690755513844</v>
      </c>
      <c r="K24" s="13">
        <f t="shared" si="2"/>
        <v>2733.0004692632565</v>
      </c>
    </row>
    <row r="25" spans="1:11" x14ac:dyDescent="0.25">
      <c r="A25" s="9">
        <v>24</v>
      </c>
      <c r="B25" s="10" t="s">
        <v>44</v>
      </c>
      <c r="C25" s="11" t="s">
        <v>45</v>
      </c>
      <c r="D25" s="9">
        <v>14</v>
      </c>
      <c r="E25" s="9">
        <v>10790</v>
      </c>
      <c r="F25" s="9">
        <v>5167</v>
      </c>
      <c r="G25" s="12">
        <f t="shared" si="0"/>
        <v>0.47886932344763672</v>
      </c>
      <c r="H25" s="13">
        <v>11062821</v>
      </c>
      <c r="I25" s="13">
        <v>41857706</v>
      </c>
      <c r="J25" s="13">
        <f t="shared" si="1"/>
        <v>1025.2846153846153</v>
      </c>
      <c r="K25" s="13">
        <f t="shared" si="2"/>
        <v>3879.3054680259502</v>
      </c>
    </row>
    <row r="26" spans="1:11" x14ac:dyDescent="0.25">
      <c r="A26" s="9">
        <v>25</v>
      </c>
      <c r="B26" s="10" t="s">
        <v>71</v>
      </c>
      <c r="C26" s="11" t="s">
        <v>35</v>
      </c>
      <c r="D26" s="9">
        <v>6</v>
      </c>
      <c r="E26" s="9">
        <v>916</v>
      </c>
      <c r="F26" s="9">
        <v>434</v>
      </c>
      <c r="G26" s="12">
        <f t="shared" si="0"/>
        <v>0.47379912663755458</v>
      </c>
      <c r="H26" s="13">
        <v>1501411</v>
      </c>
      <c r="I26" s="13">
        <v>396729</v>
      </c>
      <c r="J26" s="13">
        <f t="shared" si="1"/>
        <v>1639.0949781659388</v>
      </c>
      <c r="K26" s="13">
        <f t="shared" si="2"/>
        <v>433.11026200873363</v>
      </c>
    </row>
    <row r="27" spans="1:11" x14ac:dyDescent="0.25">
      <c r="A27" s="9">
        <v>26</v>
      </c>
      <c r="B27" s="10" t="s">
        <v>55</v>
      </c>
      <c r="C27" s="11" t="s">
        <v>45</v>
      </c>
      <c r="D27" s="9">
        <v>13</v>
      </c>
      <c r="E27" s="9">
        <v>10720</v>
      </c>
      <c r="F27" s="9">
        <v>4956</v>
      </c>
      <c r="G27" s="12">
        <f t="shared" si="0"/>
        <v>0.46231343283582088</v>
      </c>
      <c r="H27" s="13">
        <v>9685278</v>
      </c>
      <c r="I27" s="13">
        <v>38590652</v>
      </c>
      <c r="J27" s="13">
        <f t="shared" si="1"/>
        <v>903.47742537313434</v>
      </c>
      <c r="K27" s="13">
        <f t="shared" si="2"/>
        <v>3599.8742537313433</v>
      </c>
    </row>
    <row r="28" spans="1:11" x14ac:dyDescent="0.25">
      <c r="A28" s="9">
        <v>27</v>
      </c>
      <c r="B28" s="10" t="s">
        <v>64</v>
      </c>
      <c r="C28" s="11" t="s">
        <v>37</v>
      </c>
      <c r="D28" s="9">
        <v>6</v>
      </c>
      <c r="E28" s="9">
        <v>958</v>
      </c>
      <c r="F28" s="9">
        <v>428</v>
      </c>
      <c r="G28" s="12">
        <f t="shared" si="0"/>
        <v>0.44676409185803756</v>
      </c>
      <c r="H28" s="13">
        <v>1956142</v>
      </c>
      <c r="I28" s="13">
        <v>371671</v>
      </c>
      <c r="J28" s="13">
        <f t="shared" si="1"/>
        <v>2041.901878914405</v>
      </c>
      <c r="K28" s="13">
        <f t="shared" si="2"/>
        <v>387.96555323590815</v>
      </c>
    </row>
    <row r="29" spans="1:11" x14ac:dyDescent="0.25">
      <c r="A29" s="9">
        <v>28</v>
      </c>
      <c r="B29" s="10" t="s">
        <v>52</v>
      </c>
      <c r="C29" s="11" t="s">
        <v>47</v>
      </c>
      <c r="D29" s="9">
        <v>13</v>
      </c>
      <c r="E29" s="9">
        <v>10634</v>
      </c>
      <c r="F29" s="9">
        <v>4737</v>
      </c>
      <c r="G29" s="12">
        <f t="shared" si="0"/>
        <v>0.44545796501786722</v>
      </c>
      <c r="H29" s="13">
        <v>11766758</v>
      </c>
      <c r="I29" s="13">
        <v>28447081</v>
      </c>
      <c r="J29" s="13">
        <f t="shared" si="1"/>
        <v>1106.5222870039495</v>
      </c>
      <c r="K29" s="13">
        <f t="shared" si="2"/>
        <v>2675.1063569682151</v>
      </c>
    </row>
    <row r="30" spans="1:11" x14ac:dyDescent="0.25">
      <c r="A30" s="9">
        <v>29</v>
      </c>
      <c r="B30" s="10" t="s">
        <v>59</v>
      </c>
      <c r="C30" s="11" t="s">
        <v>47</v>
      </c>
      <c r="D30" s="9">
        <v>11</v>
      </c>
      <c r="E30" s="9">
        <v>10091</v>
      </c>
      <c r="F30" s="9">
        <v>4237</v>
      </c>
      <c r="G30" s="12">
        <f t="shared" si="0"/>
        <v>0.41987910018828661</v>
      </c>
      <c r="H30" s="13">
        <v>9672106</v>
      </c>
      <c r="I30" s="13">
        <v>23192584</v>
      </c>
      <c r="J30" s="13">
        <f t="shared" si="1"/>
        <v>958.48835596075708</v>
      </c>
      <c r="K30" s="13">
        <f t="shared" si="2"/>
        <v>2298.3434743831135</v>
      </c>
    </row>
    <row r="31" spans="1:11" x14ac:dyDescent="0.25">
      <c r="A31" s="9">
        <v>30</v>
      </c>
      <c r="B31" s="10" t="s">
        <v>69</v>
      </c>
      <c r="C31" s="11" t="s">
        <v>35</v>
      </c>
      <c r="D31" s="9">
        <v>5</v>
      </c>
      <c r="E31" s="9">
        <v>440</v>
      </c>
      <c r="F31" s="9">
        <v>184</v>
      </c>
      <c r="G31" s="12">
        <f t="shared" si="0"/>
        <v>0.41818181818181815</v>
      </c>
      <c r="H31" s="13">
        <v>569354</v>
      </c>
      <c r="I31" s="13">
        <v>186210</v>
      </c>
      <c r="J31" s="13">
        <f t="shared" si="1"/>
        <v>1293.9863636363636</v>
      </c>
      <c r="K31" s="13">
        <f t="shared" si="2"/>
        <v>423.20454545454544</v>
      </c>
    </row>
    <row r="32" spans="1:11" x14ac:dyDescent="0.25">
      <c r="A32" s="9">
        <v>31</v>
      </c>
      <c r="B32" s="10" t="s">
        <v>61</v>
      </c>
      <c r="C32" s="11" t="s">
        <v>47</v>
      </c>
      <c r="D32" s="9">
        <v>9</v>
      </c>
      <c r="E32" s="9">
        <v>8377</v>
      </c>
      <c r="F32" s="9">
        <v>3467</v>
      </c>
      <c r="G32" s="12">
        <f t="shared" si="0"/>
        <v>0.41387131431299989</v>
      </c>
      <c r="H32" s="13">
        <v>5564067</v>
      </c>
      <c r="I32" s="13">
        <v>14735323</v>
      </c>
      <c r="J32" s="13">
        <f t="shared" si="1"/>
        <v>664.20759221678406</v>
      </c>
      <c r="K32" s="13">
        <f t="shared" si="2"/>
        <v>1759.0214874059925</v>
      </c>
    </row>
    <row r="33" spans="1:11" x14ac:dyDescent="0.25">
      <c r="A33" s="9">
        <v>32</v>
      </c>
      <c r="B33" s="10" t="s">
        <v>63</v>
      </c>
      <c r="C33" s="11" t="s">
        <v>37</v>
      </c>
      <c r="D33" s="9">
        <v>4</v>
      </c>
      <c r="E33" s="9">
        <v>133</v>
      </c>
      <c r="F33" s="9">
        <v>55</v>
      </c>
      <c r="G33" s="12">
        <f t="shared" si="0"/>
        <v>0.41353383458646614</v>
      </c>
      <c r="H33" s="13">
        <v>268521</v>
      </c>
      <c r="I33" s="13">
        <v>59153</v>
      </c>
      <c r="J33" s="13">
        <f t="shared" si="1"/>
        <v>2018.9548872180451</v>
      </c>
      <c r="K33" s="13">
        <f t="shared" si="2"/>
        <v>444.75939849624058</v>
      </c>
    </row>
    <row r="34" spans="1:11" x14ac:dyDescent="0.25">
      <c r="A34" s="9">
        <v>33</v>
      </c>
      <c r="B34" s="10" t="s">
        <v>67</v>
      </c>
      <c r="C34" s="11" t="s">
        <v>45</v>
      </c>
      <c r="D34" s="9">
        <v>11</v>
      </c>
      <c r="E34" s="9">
        <v>10659</v>
      </c>
      <c r="F34" s="9">
        <v>4297</v>
      </c>
      <c r="G34" s="12">
        <f t="shared" ref="G34:G65" si="3">IF(E34=0,0,F34/E34)</f>
        <v>0.40313350220470962</v>
      </c>
      <c r="H34" s="13">
        <v>7815807</v>
      </c>
      <c r="I34" s="13">
        <v>33376270</v>
      </c>
      <c r="J34" s="13">
        <f t="shared" ref="J34:J53" si="4">IF(E34=0,0,H34/E34)</f>
        <v>733.25893611032927</v>
      </c>
      <c r="K34" s="13">
        <f t="shared" ref="K34:K53" si="5">IF(E34=0,0,I34/E34)</f>
        <v>3131.2759170653908</v>
      </c>
    </row>
    <row r="35" spans="1:11" x14ac:dyDescent="0.25">
      <c r="A35" s="9">
        <v>34</v>
      </c>
      <c r="B35" s="10" t="s">
        <v>66</v>
      </c>
      <c r="C35" s="11" t="s">
        <v>45</v>
      </c>
      <c r="D35" s="9">
        <v>9</v>
      </c>
      <c r="E35" s="9">
        <v>10704</v>
      </c>
      <c r="F35" s="9">
        <v>4313</v>
      </c>
      <c r="G35" s="12">
        <f t="shared" si="3"/>
        <v>0.40293348281016445</v>
      </c>
      <c r="H35" s="13">
        <v>5355631</v>
      </c>
      <c r="I35" s="13">
        <v>26834032</v>
      </c>
      <c r="J35" s="13">
        <f t="shared" si="4"/>
        <v>500.33921898355754</v>
      </c>
      <c r="K35" s="13">
        <f t="shared" si="5"/>
        <v>2506.9162929745889</v>
      </c>
    </row>
    <row r="36" spans="1:11" x14ac:dyDescent="0.25">
      <c r="A36" s="9">
        <v>35</v>
      </c>
      <c r="B36" s="10" t="s">
        <v>70</v>
      </c>
      <c r="C36" s="11" t="s">
        <v>47</v>
      </c>
      <c r="D36" s="9">
        <v>8</v>
      </c>
      <c r="E36" s="9">
        <v>7438</v>
      </c>
      <c r="F36" s="9">
        <v>2982</v>
      </c>
      <c r="G36" s="12">
        <f t="shared" si="3"/>
        <v>0.40091422425383166</v>
      </c>
      <c r="H36" s="13">
        <v>4363419</v>
      </c>
      <c r="I36" s="13">
        <v>11812228</v>
      </c>
      <c r="J36" s="13">
        <f t="shared" si="4"/>
        <v>586.6387469749933</v>
      </c>
      <c r="K36" s="13">
        <f t="shared" si="5"/>
        <v>1588.0919602043559</v>
      </c>
    </row>
    <row r="37" spans="1:11" x14ac:dyDescent="0.25">
      <c r="A37" s="9">
        <v>36</v>
      </c>
      <c r="B37" s="10" t="s">
        <v>74</v>
      </c>
      <c r="C37" s="11" t="s">
        <v>47</v>
      </c>
      <c r="D37" s="9">
        <v>7</v>
      </c>
      <c r="E37" s="9">
        <v>4796</v>
      </c>
      <c r="F37" s="9">
        <v>1834</v>
      </c>
      <c r="G37" s="12">
        <f t="shared" si="3"/>
        <v>0.38240200166805671</v>
      </c>
      <c r="H37" s="13">
        <v>2696486</v>
      </c>
      <c r="I37" s="13">
        <v>7044747</v>
      </c>
      <c r="J37" s="13">
        <f t="shared" si="4"/>
        <v>562.23644703919933</v>
      </c>
      <c r="K37" s="13">
        <f t="shared" si="5"/>
        <v>1468.8796914095078</v>
      </c>
    </row>
    <row r="38" spans="1:11" x14ac:dyDescent="0.25">
      <c r="A38" s="9">
        <v>37</v>
      </c>
      <c r="B38" s="10" t="s">
        <v>77</v>
      </c>
      <c r="C38" s="11" t="s">
        <v>45</v>
      </c>
      <c r="D38" s="9">
        <v>5</v>
      </c>
      <c r="E38" s="9">
        <v>6502</v>
      </c>
      <c r="F38" s="9">
        <v>2478</v>
      </c>
      <c r="G38" s="12">
        <f t="shared" si="3"/>
        <v>0.38111350353737311</v>
      </c>
      <c r="H38" s="13">
        <v>2188344</v>
      </c>
      <c r="I38" s="13">
        <v>9419719</v>
      </c>
      <c r="J38" s="13">
        <f t="shared" si="4"/>
        <v>336.56474930790529</v>
      </c>
      <c r="K38" s="13">
        <f t="shared" si="5"/>
        <v>1448.7417717625347</v>
      </c>
    </row>
    <row r="39" spans="1:11" x14ac:dyDescent="0.25">
      <c r="A39" s="9">
        <v>38</v>
      </c>
      <c r="B39" s="10" t="s">
        <v>72</v>
      </c>
      <c r="C39" s="11" t="s">
        <v>45</v>
      </c>
      <c r="D39" s="9">
        <v>8</v>
      </c>
      <c r="E39" s="9">
        <v>10543</v>
      </c>
      <c r="F39" s="9">
        <v>3952</v>
      </c>
      <c r="G39" s="12">
        <f t="shared" si="3"/>
        <v>0.37484586929716401</v>
      </c>
      <c r="H39" s="13">
        <v>5296978</v>
      </c>
      <c r="I39" s="13">
        <v>23222385</v>
      </c>
      <c r="J39" s="13">
        <f t="shared" si="4"/>
        <v>502.416579721142</v>
      </c>
      <c r="K39" s="13">
        <f t="shared" si="5"/>
        <v>2202.6353978943375</v>
      </c>
    </row>
    <row r="40" spans="1:11" x14ac:dyDescent="0.25">
      <c r="A40" s="9">
        <v>39</v>
      </c>
      <c r="B40" s="10" t="s">
        <v>75</v>
      </c>
      <c r="C40" s="11" t="s">
        <v>45</v>
      </c>
      <c r="D40" s="9">
        <v>7</v>
      </c>
      <c r="E40" s="9">
        <v>10195</v>
      </c>
      <c r="F40" s="9">
        <v>3807</v>
      </c>
      <c r="G40" s="12">
        <f t="shared" si="3"/>
        <v>0.37341834232466897</v>
      </c>
      <c r="H40" s="13">
        <v>5286170</v>
      </c>
      <c r="I40" s="13">
        <v>19812502</v>
      </c>
      <c r="J40" s="13">
        <f t="shared" si="4"/>
        <v>518.50613045610589</v>
      </c>
      <c r="K40" s="13">
        <f t="shared" si="5"/>
        <v>1943.3547817557626</v>
      </c>
    </row>
    <row r="41" spans="1:11" x14ac:dyDescent="0.25">
      <c r="A41" s="9">
        <v>40</v>
      </c>
      <c r="B41" s="10" t="s">
        <v>79</v>
      </c>
      <c r="C41" s="11" t="s">
        <v>45</v>
      </c>
      <c r="D41" s="9">
        <v>6</v>
      </c>
      <c r="E41" s="9">
        <v>9382</v>
      </c>
      <c r="F41" s="9">
        <v>3464</v>
      </c>
      <c r="G41" s="12">
        <f t="shared" si="3"/>
        <v>0.36921765082072056</v>
      </c>
      <c r="H41" s="13">
        <v>3702725</v>
      </c>
      <c r="I41" s="13">
        <v>15932319</v>
      </c>
      <c r="J41" s="13">
        <f t="shared" si="4"/>
        <v>394.66265188659133</v>
      </c>
      <c r="K41" s="13">
        <f t="shared" si="5"/>
        <v>1698.1793860584098</v>
      </c>
    </row>
    <row r="42" spans="1:11" x14ac:dyDescent="0.25">
      <c r="A42" s="9">
        <v>41</v>
      </c>
      <c r="B42" s="10" t="s">
        <v>78</v>
      </c>
      <c r="C42" s="11" t="s">
        <v>47</v>
      </c>
      <c r="D42" s="9">
        <v>6</v>
      </c>
      <c r="E42" s="9">
        <v>3121</v>
      </c>
      <c r="F42" s="9">
        <v>1148</v>
      </c>
      <c r="G42" s="12">
        <f t="shared" si="3"/>
        <v>0.36783082345402113</v>
      </c>
      <c r="H42" s="13">
        <v>1310915</v>
      </c>
      <c r="I42" s="13">
        <v>3822499</v>
      </c>
      <c r="J42" s="13">
        <f t="shared" si="4"/>
        <v>420.0304389618712</v>
      </c>
      <c r="K42" s="13">
        <f t="shared" si="5"/>
        <v>1224.7673822492791</v>
      </c>
    </row>
    <row r="43" spans="1:11" x14ac:dyDescent="0.25">
      <c r="A43" s="9">
        <v>42</v>
      </c>
      <c r="B43" s="10" t="s">
        <v>76</v>
      </c>
      <c r="C43" s="11" t="s">
        <v>47</v>
      </c>
      <c r="D43" s="9">
        <v>5</v>
      </c>
      <c r="E43" s="9">
        <v>1733</v>
      </c>
      <c r="F43" s="9">
        <v>624</v>
      </c>
      <c r="G43" s="12">
        <f t="shared" si="3"/>
        <v>0.36006924408540103</v>
      </c>
      <c r="H43" s="13">
        <v>525718</v>
      </c>
      <c r="I43" s="13">
        <v>1832412</v>
      </c>
      <c r="J43" s="13">
        <f t="shared" si="4"/>
        <v>303.35718407386037</v>
      </c>
      <c r="K43" s="13">
        <f t="shared" si="5"/>
        <v>1057.3641084824005</v>
      </c>
    </row>
    <row r="44" spans="1:11" x14ac:dyDescent="0.25">
      <c r="A44" s="9">
        <v>43</v>
      </c>
      <c r="B44" s="10" t="s">
        <v>81</v>
      </c>
      <c r="C44" s="11" t="s">
        <v>37</v>
      </c>
      <c r="D44" s="9">
        <v>3</v>
      </c>
      <c r="E44" s="9">
        <v>50</v>
      </c>
      <c r="F44" s="9">
        <v>18</v>
      </c>
      <c r="G44" s="12">
        <f t="shared" si="3"/>
        <v>0.36</v>
      </c>
      <c r="H44" s="13">
        <v>68108</v>
      </c>
      <c r="I44" s="13">
        <v>32976</v>
      </c>
      <c r="J44" s="13">
        <f t="shared" si="4"/>
        <v>1362.16</v>
      </c>
      <c r="K44" s="13">
        <f t="shared" si="5"/>
        <v>659.52</v>
      </c>
    </row>
    <row r="45" spans="1:11" x14ac:dyDescent="0.25">
      <c r="A45" s="9">
        <v>44</v>
      </c>
      <c r="B45" s="10" t="s">
        <v>86</v>
      </c>
      <c r="C45" s="11" t="s">
        <v>45</v>
      </c>
      <c r="D45" s="9">
        <v>4</v>
      </c>
      <c r="E45" s="9">
        <v>3476</v>
      </c>
      <c r="F45" s="9">
        <v>1162</v>
      </c>
      <c r="G45" s="12">
        <f t="shared" si="3"/>
        <v>0.33429228998849253</v>
      </c>
      <c r="H45" s="13">
        <v>1142261</v>
      </c>
      <c r="I45" s="13">
        <v>4249340</v>
      </c>
      <c r="J45" s="13">
        <f t="shared" si="4"/>
        <v>328.61363636363637</v>
      </c>
      <c r="K45" s="13">
        <f t="shared" si="5"/>
        <v>1222.4798619102417</v>
      </c>
    </row>
    <row r="46" spans="1:11" x14ac:dyDescent="0.25">
      <c r="A46" s="9">
        <v>45</v>
      </c>
      <c r="B46" s="10" t="s">
        <v>83</v>
      </c>
      <c r="C46" s="11" t="s">
        <v>35</v>
      </c>
      <c r="D46" s="9">
        <v>3</v>
      </c>
      <c r="E46" s="9">
        <v>33</v>
      </c>
      <c r="F46" s="9">
        <v>11</v>
      </c>
      <c r="G46" s="12">
        <f t="shared" si="3"/>
        <v>0.33333333333333331</v>
      </c>
      <c r="H46" s="13">
        <v>38160</v>
      </c>
      <c r="I46" s="13">
        <v>32849</v>
      </c>
      <c r="J46" s="13">
        <f t="shared" si="4"/>
        <v>1156.3636363636363</v>
      </c>
      <c r="K46" s="13">
        <f t="shared" si="5"/>
        <v>995.42424242424238</v>
      </c>
    </row>
    <row r="47" spans="1:11" x14ac:dyDescent="0.25">
      <c r="A47" s="9">
        <v>46</v>
      </c>
      <c r="B47" s="10" t="s">
        <v>80</v>
      </c>
      <c r="C47" s="11" t="s">
        <v>47</v>
      </c>
      <c r="D47" s="9">
        <v>4</v>
      </c>
      <c r="E47" s="9">
        <v>635</v>
      </c>
      <c r="F47" s="9">
        <v>209</v>
      </c>
      <c r="G47" s="12">
        <f t="shared" si="3"/>
        <v>0.32913385826771652</v>
      </c>
      <c r="H47" s="13">
        <v>223444</v>
      </c>
      <c r="I47" s="13">
        <v>582243</v>
      </c>
      <c r="J47" s="13">
        <f t="shared" si="4"/>
        <v>351.8803149606299</v>
      </c>
      <c r="K47" s="13">
        <f t="shared" si="5"/>
        <v>916.91811023622051</v>
      </c>
    </row>
    <row r="48" spans="1:11" x14ac:dyDescent="0.25">
      <c r="A48" s="9">
        <v>47</v>
      </c>
      <c r="B48" s="10" t="s">
        <v>82</v>
      </c>
      <c r="C48" s="11" t="s">
        <v>45</v>
      </c>
      <c r="D48" s="9">
        <v>3</v>
      </c>
      <c r="E48" s="9">
        <v>1203</v>
      </c>
      <c r="F48" s="9">
        <v>346</v>
      </c>
      <c r="G48" s="12">
        <f t="shared" si="3"/>
        <v>0.28761429758935991</v>
      </c>
      <c r="H48" s="13">
        <v>223358</v>
      </c>
      <c r="I48" s="13">
        <v>1205639</v>
      </c>
      <c r="J48" s="13">
        <f t="shared" si="4"/>
        <v>185.66749792186201</v>
      </c>
      <c r="K48" s="13">
        <f t="shared" si="5"/>
        <v>1002.1936824605153</v>
      </c>
    </row>
    <row r="49" spans="1:11" x14ac:dyDescent="0.25">
      <c r="A49" s="9">
        <v>48</v>
      </c>
      <c r="B49" s="10" t="s">
        <v>84</v>
      </c>
      <c r="C49" s="11" t="s">
        <v>47</v>
      </c>
      <c r="D49" s="9">
        <v>3</v>
      </c>
      <c r="E49" s="9">
        <v>190</v>
      </c>
      <c r="F49" s="9">
        <v>51</v>
      </c>
      <c r="G49" s="12">
        <f t="shared" si="3"/>
        <v>0.26842105263157895</v>
      </c>
      <c r="H49" s="13">
        <v>27306</v>
      </c>
      <c r="I49" s="13">
        <v>143224</v>
      </c>
      <c r="J49" s="13">
        <f t="shared" si="4"/>
        <v>143.7157894736842</v>
      </c>
      <c r="K49" s="13">
        <f t="shared" si="5"/>
        <v>753.8105263157895</v>
      </c>
    </row>
    <row r="50" spans="1:11" x14ac:dyDescent="0.25">
      <c r="A50" s="9">
        <v>49</v>
      </c>
      <c r="B50" s="10" t="s">
        <v>89</v>
      </c>
      <c r="C50" s="11" t="s">
        <v>45</v>
      </c>
      <c r="D50" s="9">
        <v>2</v>
      </c>
      <c r="E50" s="9">
        <v>309</v>
      </c>
      <c r="F50" s="9">
        <v>73</v>
      </c>
      <c r="G50" s="12">
        <f t="shared" si="3"/>
        <v>0.23624595469255663</v>
      </c>
      <c r="H50" s="13">
        <v>28050</v>
      </c>
      <c r="I50" s="13">
        <v>267107</v>
      </c>
      <c r="J50" s="13">
        <f t="shared" si="4"/>
        <v>90.77669902912622</v>
      </c>
      <c r="K50" s="13">
        <f t="shared" si="5"/>
        <v>864.42394822006474</v>
      </c>
    </row>
    <row r="51" spans="1:11" x14ac:dyDescent="0.25">
      <c r="A51" s="9">
        <v>50</v>
      </c>
      <c r="B51" s="10" t="s">
        <v>87</v>
      </c>
      <c r="C51" s="11" t="s">
        <v>47</v>
      </c>
      <c r="D51" s="9">
        <v>2</v>
      </c>
      <c r="E51" s="9">
        <v>13</v>
      </c>
      <c r="F51" s="9">
        <v>3</v>
      </c>
      <c r="G51" s="12">
        <f t="shared" si="3"/>
        <v>0.23076923076923078</v>
      </c>
      <c r="H51" s="13">
        <v>2170</v>
      </c>
      <c r="I51" s="13">
        <v>27133</v>
      </c>
      <c r="J51" s="13">
        <f t="shared" si="4"/>
        <v>166.92307692307693</v>
      </c>
      <c r="K51" s="13">
        <f t="shared" si="5"/>
        <v>2087.1538461538462</v>
      </c>
    </row>
    <row r="52" spans="1:11" x14ac:dyDescent="0.25">
      <c r="A52" s="9">
        <v>51</v>
      </c>
      <c r="B52" s="10" t="s">
        <v>85</v>
      </c>
      <c r="C52" s="11" t="s">
        <v>37</v>
      </c>
      <c r="D52" s="9">
        <v>2</v>
      </c>
      <c r="E52" s="9">
        <v>1</v>
      </c>
      <c r="F52" s="9">
        <v>0</v>
      </c>
      <c r="G52" s="12">
        <f t="shared" si="3"/>
        <v>0</v>
      </c>
      <c r="H52" s="13">
        <v>15135</v>
      </c>
      <c r="I52" s="13">
        <v>20491</v>
      </c>
      <c r="J52" s="13">
        <f t="shared" si="4"/>
        <v>15135</v>
      </c>
      <c r="K52" s="13">
        <f t="shared" si="5"/>
        <v>20491</v>
      </c>
    </row>
    <row r="53" spans="1:11" x14ac:dyDescent="0.25">
      <c r="A53" s="9">
        <v>52</v>
      </c>
      <c r="B53" s="10" t="s">
        <v>88</v>
      </c>
      <c r="C53" s="11" t="s">
        <v>35</v>
      </c>
      <c r="D53" s="9">
        <v>2</v>
      </c>
      <c r="E53" s="9">
        <v>2</v>
      </c>
      <c r="F53" s="9">
        <v>0</v>
      </c>
      <c r="G53" s="12">
        <f t="shared" si="3"/>
        <v>0</v>
      </c>
      <c r="H53" s="13">
        <v>12490</v>
      </c>
      <c r="I53" s="13">
        <v>17455</v>
      </c>
      <c r="J53" s="13">
        <f t="shared" si="4"/>
        <v>6245</v>
      </c>
      <c r="K53" s="13">
        <f t="shared" si="5"/>
        <v>8727.5</v>
      </c>
    </row>
  </sheetData>
  <conditionalFormatting sqref="E2:E53">
    <cfRule type="colorScale" priority="2">
      <colorScale>
        <cfvo type="num" val="0"/>
        <cfvo type="num" val="1000"/>
        <cfvo type="max"/>
        <color rgb="FFF8696B"/>
        <color rgb="FFFFEB84"/>
        <color rgb="FF63BE7B"/>
      </colorScale>
    </cfRule>
  </conditionalFormatting>
  <conditionalFormatting sqref="G2:G5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2:J53">
    <cfRule type="colorScale" priority="3">
      <colorScale>
        <cfvo type="min"/>
        <cfvo type="max"/>
        <color rgb="FFFFFF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Card Rankings</vt:lpstr>
      <vt:lpstr>Matchup Matrix</vt:lpstr>
      <vt:lpstr>AI Suit Summary</vt:lpstr>
      <vt:lpstr>AI Card 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Riley Conroy</cp:lastModifiedBy>
  <dcterms:created xsi:type="dcterms:W3CDTF">2026-07-14T15:29:30Z</dcterms:created>
  <dcterms:modified xsi:type="dcterms:W3CDTF">2026-07-14T16:01:24Z</dcterms:modified>
</cp:coreProperties>
</file>