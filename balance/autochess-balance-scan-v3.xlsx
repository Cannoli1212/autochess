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nnoli\Claude Code\autochess\balance\"/>
    </mc:Choice>
  </mc:AlternateContent>
  <xr:revisionPtr revIDLastSave="0" documentId="13_ncr:1_{F389ED16-189B-4C56-84EC-EC5B67BA7B4B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Overview" sheetId="1" r:id="rId1"/>
    <sheet name="Card Rankings" sheetId="2" r:id="rId2"/>
    <sheet name="Matchup Matrix" sheetId="3" r:id="rId3"/>
    <sheet name="AI Suit Summary" sheetId="4" r:id="rId4"/>
    <sheet name="AI Card Ranking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5" l="1"/>
  <c r="J2" i="5"/>
  <c r="G2" i="5"/>
  <c r="K53" i="5"/>
  <c r="J53" i="5"/>
  <c r="G53" i="5"/>
  <c r="K51" i="5"/>
  <c r="J51" i="5"/>
  <c r="G51" i="5"/>
  <c r="K31" i="5"/>
  <c r="J31" i="5"/>
  <c r="G31" i="5"/>
  <c r="K50" i="5"/>
  <c r="J50" i="5"/>
  <c r="G50" i="5"/>
  <c r="K34" i="5"/>
  <c r="J34" i="5"/>
  <c r="G34" i="5"/>
  <c r="K43" i="5"/>
  <c r="J43" i="5"/>
  <c r="G43" i="5"/>
  <c r="K52" i="5"/>
  <c r="J52" i="5"/>
  <c r="G52" i="5"/>
  <c r="K49" i="5"/>
  <c r="J49" i="5"/>
  <c r="G49" i="5"/>
  <c r="K48" i="5"/>
  <c r="J48" i="5"/>
  <c r="G48" i="5"/>
  <c r="K47" i="5"/>
  <c r="J47" i="5"/>
  <c r="G47" i="5"/>
  <c r="K46" i="5"/>
  <c r="J46" i="5"/>
  <c r="G46" i="5"/>
  <c r="K45" i="5"/>
  <c r="J45" i="5"/>
  <c r="G45" i="5"/>
  <c r="K44" i="5"/>
  <c r="J44" i="5"/>
  <c r="G44" i="5"/>
  <c r="K42" i="5"/>
  <c r="J42" i="5"/>
  <c r="G42" i="5"/>
  <c r="K41" i="5"/>
  <c r="J41" i="5"/>
  <c r="G41" i="5"/>
  <c r="K40" i="5"/>
  <c r="J40" i="5"/>
  <c r="G40" i="5"/>
  <c r="K39" i="5"/>
  <c r="J39" i="5"/>
  <c r="G39" i="5"/>
  <c r="K38" i="5"/>
  <c r="J38" i="5"/>
  <c r="G38" i="5"/>
  <c r="K37" i="5"/>
  <c r="J37" i="5"/>
  <c r="G37" i="5"/>
  <c r="K36" i="5"/>
  <c r="J36" i="5"/>
  <c r="G36" i="5"/>
  <c r="K35" i="5"/>
  <c r="J35" i="5"/>
  <c r="G35" i="5"/>
  <c r="K33" i="5"/>
  <c r="J33" i="5"/>
  <c r="G33" i="5"/>
  <c r="K32" i="5"/>
  <c r="J32" i="5"/>
  <c r="G32" i="5"/>
  <c r="K30" i="5"/>
  <c r="J30" i="5"/>
  <c r="G30" i="5"/>
  <c r="K29" i="5"/>
  <c r="J29" i="5"/>
  <c r="G29" i="5"/>
  <c r="K28" i="5"/>
  <c r="J28" i="5"/>
  <c r="G28" i="5"/>
  <c r="K27" i="5"/>
  <c r="J27" i="5"/>
  <c r="G27" i="5"/>
  <c r="K26" i="5"/>
  <c r="J26" i="5"/>
  <c r="G26" i="5"/>
  <c r="K25" i="5"/>
  <c r="J25" i="5"/>
  <c r="G25" i="5"/>
  <c r="K24" i="5"/>
  <c r="J24" i="5"/>
  <c r="G24" i="5"/>
  <c r="K23" i="5"/>
  <c r="J23" i="5"/>
  <c r="G23" i="5"/>
  <c r="K22" i="5"/>
  <c r="J22" i="5"/>
  <c r="G22" i="5"/>
  <c r="K21" i="5"/>
  <c r="J21" i="5"/>
  <c r="G21" i="5"/>
  <c r="K20" i="5"/>
  <c r="J20" i="5"/>
  <c r="G20" i="5"/>
  <c r="K19" i="5"/>
  <c r="J19" i="5"/>
  <c r="G19" i="5"/>
  <c r="K18" i="5"/>
  <c r="J18" i="5"/>
  <c r="G18" i="5"/>
  <c r="K17" i="5"/>
  <c r="J17" i="5"/>
  <c r="G17" i="5"/>
  <c r="K16" i="5"/>
  <c r="J16" i="5"/>
  <c r="G16" i="5"/>
  <c r="K15" i="5"/>
  <c r="J15" i="5"/>
  <c r="G15" i="5"/>
  <c r="K14" i="5"/>
  <c r="J14" i="5"/>
  <c r="G14" i="5"/>
  <c r="K13" i="5"/>
  <c r="J13" i="5"/>
  <c r="G13" i="5"/>
  <c r="K12" i="5"/>
  <c r="J12" i="5"/>
  <c r="G12" i="5"/>
  <c r="K11" i="5"/>
  <c r="J11" i="5"/>
  <c r="G11" i="5"/>
  <c r="K10" i="5"/>
  <c r="J10" i="5"/>
  <c r="G10" i="5"/>
  <c r="K9" i="5"/>
  <c r="J9" i="5"/>
  <c r="G9" i="5"/>
  <c r="K8" i="5"/>
  <c r="J8" i="5"/>
  <c r="G8" i="5"/>
  <c r="K7" i="5"/>
  <c r="J7" i="5"/>
  <c r="G7" i="5"/>
  <c r="K6" i="5"/>
  <c r="J6" i="5"/>
  <c r="G6" i="5"/>
  <c r="K5" i="5"/>
  <c r="J5" i="5"/>
  <c r="G5" i="5"/>
  <c r="K4" i="5"/>
  <c r="J4" i="5"/>
  <c r="G4" i="5"/>
  <c r="K3" i="5"/>
  <c r="J3" i="5"/>
  <c r="G3" i="5"/>
  <c r="H5" i="4"/>
  <c r="G5" i="4"/>
  <c r="D5" i="4"/>
  <c r="H4" i="4"/>
  <c r="G4" i="4"/>
  <c r="D4" i="4"/>
  <c r="H3" i="4"/>
  <c r="G3" i="4"/>
  <c r="D3" i="4"/>
  <c r="H2" i="4"/>
  <c r="G2" i="4"/>
  <c r="D2" i="4"/>
  <c r="L53" i="2"/>
  <c r="K53" i="2"/>
  <c r="G53" i="2"/>
  <c r="L52" i="2"/>
  <c r="K52" i="2"/>
  <c r="G52" i="2"/>
  <c r="L51" i="2"/>
  <c r="K51" i="2"/>
  <c r="G51" i="2"/>
  <c r="L50" i="2"/>
  <c r="K50" i="2"/>
  <c r="G50" i="2"/>
  <c r="L49" i="2"/>
  <c r="K49" i="2"/>
  <c r="G49" i="2"/>
  <c r="L48" i="2"/>
  <c r="K48" i="2"/>
  <c r="G48" i="2"/>
  <c r="L47" i="2"/>
  <c r="K47" i="2"/>
  <c r="G47" i="2"/>
  <c r="L46" i="2"/>
  <c r="K46" i="2"/>
  <c r="G46" i="2"/>
  <c r="L45" i="2"/>
  <c r="K45" i="2"/>
  <c r="G45" i="2"/>
  <c r="L44" i="2"/>
  <c r="K44" i="2"/>
  <c r="G44" i="2"/>
  <c r="L43" i="2"/>
  <c r="K43" i="2"/>
  <c r="G43" i="2"/>
  <c r="L42" i="2"/>
  <c r="K42" i="2"/>
  <c r="G42" i="2"/>
  <c r="L41" i="2"/>
  <c r="K41" i="2"/>
  <c r="G41" i="2"/>
  <c r="L40" i="2"/>
  <c r="K40" i="2"/>
  <c r="G40" i="2"/>
  <c r="L39" i="2"/>
  <c r="K39" i="2"/>
  <c r="G39" i="2"/>
  <c r="L38" i="2"/>
  <c r="K38" i="2"/>
  <c r="G38" i="2"/>
  <c r="L37" i="2"/>
  <c r="K37" i="2"/>
  <c r="G37" i="2"/>
  <c r="L36" i="2"/>
  <c r="K36" i="2"/>
  <c r="G36" i="2"/>
  <c r="L35" i="2"/>
  <c r="K35" i="2"/>
  <c r="G35" i="2"/>
  <c r="L34" i="2"/>
  <c r="K34" i="2"/>
  <c r="G34" i="2"/>
  <c r="L33" i="2"/>
  <c r="K33" i="2"/>
  <c r="G33" i="2"/>
  <c r="L32" i="2"/>
  <c r="K32" i="2"/>
  <c r="G32" i="2"/>
  <c r="L31" i="2"/>
  <c r="K31" i="2"/>
  <c r="G31" i="2"/>
  <c r="L30" i="2"/>
  <c r="K30" i="2"/>
  <c r="G30" i="2"/>
  <c r="L29" i="2"/>
  <c r="K29" i="2"/>
  <c r="G29" i="2"/>
  <c r="L28" i="2"/>
  <c r="K28" i="2"/>
  <c r="G28" i="2"/>
  <c r="L27" i="2"/>
  <c r="K27" i="2"/>
  <c r="G27" i="2"/>
  <c r="L26" i="2"/>
  <c r="K26" i="2"/>
  <c r="G26" i="2"/>
  <c r="L25" i="2"/>
  <c r="K25" i="2"/>
  <c r="G25" i="2"/>
  <c r="L24" i="2"/>
  <c r="K24" i="2"/>
  <c r="G24" i="2"/>
  <c r="L23" i="2"/>
  <c r="K23" i="2"/>
  <c r="G23" i="2"/>
  <c r="L22" i="2"/>
  <c r="K22" i="2"/>
  <c r="G22" i="2"/>
  <c r="L21" i="2"/>
  <c r="K21" i="2"/>
  <c r="G21" i="2"/>
  <c r="L20" i="2"/>
  <c r="K20" i="2"/>
  <c r="G20" i="2"/>
  <c r="L19" i="2"/>
  <c r="K19" i="2"/>
  <c r="G19" i="2"/>
  <c r="L18" i="2"/>
  <c r="K18" i="2"/>
  <c r="G18" i="2"/>
  <c r="L17" i="2"/>
  <c r="K17" i="2"/>
  <c r="G17" i="2"/>
  <c r="L16" i="2"/>
  <c r="K16" i="2"/>
  <c r="G16" i="2"/>
  <c r="L15" i="2"/>
  <c r="K15" i="2"/>
  <c r="G15" i="2"/>
  <c r="L14" i="2"/>
  <c r="K14" i="2"/>
  <c r="G14" i="2"/>
  <c r="L13" i="2"/>
  <c r="K13" i="2"/>
  <c r="G13" i="2"/>
  <c r="L12" i="2"/>
  <c r="K12" i="2"/>
  <c r="G12" i="2"/>
  <c r="L11" i="2"/>
  <c r="K11" i="2"/>
  <c r="G11" i="2"/>
  <c r="L10" i="2"/>
  <c r="K10" i="2"/>
  <c r="G10" i="2"/>
  <c r="L9" i="2"/>
  <c r="K9" i="2"/>
  <c r="G9" i="2"/>
  <c r="L8" i="2"/>
  <c r="K8" i="2"/>
  <c r="G8" i="2"/>
  <c r="L7" i="2"/>
  <c r="K7" i="2"/>
  <c r="G7" i="2"/>
  <c r="L6" i="2"/>
  <c r="K6" i="2"/>
  <c r="G6" i="2"/>
  <c r="L5" i="2"/>
  <c r="K5" i="2"/>
  <c r="G5" i="2"/>
  <c r="L4" i="2"/>
  <c r="K4" i="2"/>
  <c r="G4" i="2"/>
  <c r="L3" i="2"/>
  <c r="K3" i="2"/>
  <c r="G3" i="2"/>
  <c r="L2" i="2"/>
  <c r="K2" i="2"/>
  <c r="G2" i="2"/>
  <c r="C25" i="1"/>
  <c r="C24" i="1"/>
  <c r="C23" i="1"/>
  <c r="C22" i="1"/>
</calcChain>
</file>

<file path=xl/sharedStrings.xml><?xml version="1.0" encoding="utf-8"?>
<sst xmlns="http://schemas.openxmlformats.org/spreadsheetml/2006/main" count="377" uniqueCount="107">
  <si>
    <t>Autochess — Balance Scan (post first tuning pass)</t>
  </si>
  <si>
    <t>Numbers reflect the game AFTER the 4 balance changes listed below</t>
  </si>
  <si>
    <t>What this measures</t>
  </si>
  <si>
    <t>Raw 1-on-1 card strength. Each of the 52 cards fought every other card 200 games (sides swapped each game to cancel first-move bias) using the real combat engine. Win % = share of its games a card won.</t>
  </si>
  <si>
    <t>Important caveat</t>
  </si>
  <si>
    <t>This is 1v1, so SYNERGIES NEVER FIRE (suit auras need 2+ of a suit; poker spikes need pairs) and ally-dependent abilities (Rally, the Bowers, the Royal Couple) do nothing. Enabler/support cards therefore look weak here BY DESIGN — they are measured for raw solo strength only. A team-based scan is the planned follow-up.</t>
  </si>
  <si>
    <t>Run parameters</t>
  </si>
  <si>
    <t>Games per matchup</t>
  </si>
  <si>
    <t>Cards tested</t>
  </si>
  <si>
    <t>Total matchups</t>
  </si>
  <si>
    <t>52 x 51 / 2 = 1,326</t>
  </si>
  <si>
    <t>Total battles</t>
  </si>
  <si>
    <t>265,200</t>
  </si>
  <si>
    <t>Average win % by suit</t>
  </si>
  <si>
    <t>Suit</t>
  </si>
  <si>
    <t>Avg win %</t>
  </si>
  <si>
    <t>♥ hearts</t>
  </si>
  <si>
    <t>♦ diamonds</t>
  </si>
  <si>
    <t>♣ clubs</t>
  </si>
  <si>
    <t>♠ spades</t>
  </si>
  <si>
    <t>Two scans in this workbook</t>
  </si>
  <si>
    <t>1) CARD RANKINGS + MATCHUP MATRIX — the 1v1 round-robin above (raw solo strength). 2) AI SUIT SUMMARY + AI CARD RANKINGS — full teams drafted and fought by the game's own AI on both sides (40,000 battles across team sizes 2-5), so synergies, poker, and the flop all fire. That's the realistic-play view. NOTE: the AI fields its STRONGEST cards, so high ranks appear ~10,000x and low ranks barely at all — treat low-appearance rows as noise.</t>
  </si>
  <si>
    <t>Changes made this pass (all in config.js)</t>
  </si>
  <si>
    <t>1. Ace of Clubs → sniper: kept unlimited range but attack speed 1.5 → 0.5. Killed the runaway (AI win 89% → 58%); it's now a club-synergy payoff, not an auto-include.</t>
  </si>
  <si>
    <t>2. Movement: MOVE_COOLDOWN 1 → 0 (melee steps every tick). Minor — kept for feel.</t>
  </si>
  <si>
    <t>3. Melee attack 1 → 2 (hearts &amp; diamonds). The big one — gave melee teeth.</t>
  </si>
  <si>
    <t>4. Clubs speed synergy halved (was +50/100/200% → +25/50/100%). Closed the last suit gap.</t>
  </si>
  <si>
    <t>Result: suit win-rate spread cut from 26 points to 11 (clubs/spades ~57%, diamonds/hearts ~46-48%). No dominant or dead suit.</t>
  </si>
  <si>
    <t>Generated by the in-game batch simulator (js/sim.js). Re-run any time from the browser console: simCardScan(200) or simAIScan(10000).</t>
  </si>
  <si>
    <t>#</t>
  </si>
  <si>
    <t>Card</t>
  </si>
  <si>
    <t>Rank</t>
  </si>
  <si>
    <t>Games</t>
  </si>
  <si>
    <t>Wins</t>
  </si>
  <si>
    <t>Win %</t>
  </si>
  <si>
    <t>Draws</t>
  </si>
  <si>
    <t>Dmg dealt</t>
  </si>
  <si>
    <t>Dmg taken</t>
  </si>
  <si>
    <t>Avg dealt/game</t>
  </si>
  <si>
    <t>Avg taken/game</t>
  </si>
  <si>
    <t>A♦</t>
  </si>
  <si>
    <t>diamonds</t>
  </si>
  <si>
    <t>A♥</t>
  </si>
  <si>
    <t>hearts</t>
  </si>
  <si>
    <t>K♦</t>
  </si>
  <si>
    <t>K♥</t>
  </si>
  <si>
    <t>A♠</t>
  </si>
  <si>
    <t>spades</t>
  </si>
  <si>
    <t>Q♦</t>
  </si>
  <si>
    <t>Q♥</t>
  </si>
  <si>
    <t>K♠</t>
  </si>
  <si>
    <t>J♦</t>
  </si>
  <si>
    <t>Q♠</t>
  </si>
  <si>
    <t>K♣</t>
  </si>
  <si>
    <t>clubs</t>
  </si>
  <si>
    <t>J♥</t>
  </si>
  <si>
    <t>10♦</t>
  </si>
  <si>
    <t>Q♣</t>
  </si>
  <si>
    <t>10♥</t>
  </si>
  <si>
    <t>10♠</t>
  </si>
  <si>
    <t>J♣</t>
  </si>
  <si>
    <t>9♦</t>
  </si>
  <si>
    <t>9♥</t>
  </si>
  <si>
    <t>J♠</t>
  </si>
  <si>
    <t>9♠</t>
  </si>
  <si>
    <t>10♣</t>
  </si>
  <si>
    <t>8♦</t>
  </si>
  <si>
    <t>8♠</t>
  </si>
  <si>
    <t>9♣</t>
  </si>
  <si>
    <t>7♠</t>
  </si>
  <si>
    <t>8♥</t>
  </si>
  <si>
    <t>7♦</t>
  </si>
  <si>
    <t>7♥</t>
  </si>
  <si>
    <t>8♣</t>
  </si>
  <si>
    <t>5♠</t>
  </si>
  <si>
    <t>7♣</t>
  </si>
  <si>
    <t>4♠</t>
  </si>
  <si>
    <t>6♠</t>
  </si>
  <si>
    <t>5♥</t>
  </si>
  <si>
    <t>5♦</t>
  </si>
  <si>
    <t>5♣</t>
  </si>
  <si>
    <t>A♣</t>
  </si>
  <si>
    <t>6♥</t>
  </si>
  <si>
    <t>6♦</t>
  </si>
  <si>
    <t>6♣</t>
  </si>
  <si>
    <t>4♦</t>
  </si>
  <si>
    <t>4♣</t>
  </si>
  <si>
    <t>4♥</t>
  </si>
  <si>
    <t>3♠</t>
  </si>
  <si>
    <t>3♦</t>
  </si>
  <si>
    <t>3♥</t>
  </si>
  <si>
    <t>3♣</t>
  </si>
  <si>
    <t>2♠</t>
  </si>
  <si>
    <t>2♥</t>
  </si>
  <si>
    <t>2♦</t>
  </si>
  <si>
    <t>2♣</t>
  </si>
  <si>
    <t>row beats col →</t>
  </si>
  <si>
    <t>Unit appearances</t>
  </si>
  <si>
    <t>Total dmg dealt</t>
  </si>
  <si>
    <t>Total dmg taken</t>
  </si>
  <si>
    <t>Avg dealt / unit</t>
  </si>
  <si>
    <t>Avg taken / unit</t>
  </si>
  <si>
    <t>Appearances</t>
  </si>
  <si>
    <t>Total dealt</t>
  </si>
  <si>
    <t>Total taken</t>
  </si>
  <si>
    <t>Avg dealt / app</t>
  </si>
  <si>
    <t>Avg taken /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</si>
</sst>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6"/>
      <color rgb="FF1F2A44"/>
      <name val="Arial"/>
      <family val="2"/>
    </font>
    <font>
      <i/>
      <sz val="10"/>
      <color rgb="FF555555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1F6B3A"/>
      <name val="Arial"/>
      <family val="2"/>
    </font>
    <font>
      <b/>
      <i/>
      <sz val="9"/>
      <color rgb="FF555555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D0D4DC"/>
      </left>
      <right style="thin">
        <color rgb="FFD0D4DC"/>
      </right>
      <top style="thin">
        <color rgb="FFD0D4DC"/>
      </top>
      <bottom style="thin">
        <color rgb="FFD0D4D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textRotation="90"/>
    </xf>
    <xf numFmtId="0" fontId="0" fillId="3" borderId="0" xfId="0" applyFill="1"/>
    <xf numFmtId="9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6"/>
  <sheetViews>
    <sheetView showGridLines="0" workbookViewId="0"/>
  </sheetViews>
  <sheetFormatPr defaultRowHeight="15" x14ac:dyDescent="0.25"/>
  <cols>
    <col min="1" max="1" width="3" customWidth="1"/>
    <col min="2" max="2" width="26" customWidth="1"/>
    <col min="3" max="6" width="16" customWidth="1"/>
  </cols>
  <sheetData>
    <row r="2" spans="2:6" ht="20.25" x14ac:dyDescent="0.3">
      <c r="B2" s="1" t="s">
        <v>0</v>
      </c>
    </row>
    <row r="3" spans="2:6" x14ac:dyDescent="0.25">
      <c r="B3" s="2" t="s">
        <v>1</v>
      </c>
    </row>
    <row r="5" spans="2:6" x14ac:dyDescent="0.25">
      <c r="B5" s="3" t="s">
        <v>2</v>
      </c>
    </row>
    <row r="6" spans="2:6" x14ac:dyDescent="0.25">
      <c r="B6" s="18" t="s">
        <v>3</v>
      </c>
      <c r="C6" s="19"/>
      <c r="D6" s="19"/>
      <c r="E6" s="19"/>
      <c r="F6" s="19"/>
    </row>
    <row r="7" spans="2:6" x14ac:dyDescent="0.25">
      <c r="B7" s="19"/>
      <c r="C7" s="19"/>
      <c r="D7" s="19"/>
      <c r="E7" s="19"/>
      <c r="F7" s="19"/>
    </row>
    <row r="9" spans="2:6" x14ac:dyDescent="0.25">
      <c r="B9" s="3" t="s">
        <v>4</v>
      </c>
    </row>
    <row r="10" spans="2:6" x14ac:dyDescent="0.25">
      <c r="B10" s="18" t="s">
        <v>5</v>
      </c>
      <c r="C10" s="19"/>
      <c r="D10" s="19"/>
      <c r="E10" s="19"/>
      <c r="F10" s="19"/>
    </row>
    <row r="11" spans="2:6" x14ac:dyDescent="0.25">
      <c r="B11" s="19"/>
      <c r="C11" s="19"/>
      <c r="D11" s="19"/>
      <c r="E11" s="19"/>
      <c r="F11" s="19"/>
    </row>
    <row r="12" spans="2:6" x14ac:dyDescent="0.25">
      <c r="B12" s="19"/>
      <c r="C12" s="19"/>
      <c r="D12" s="19"/>
      <c r="E12" s="19"/>
      <c r="F12" s="19"/>
    </row>
    <row r="14" spans="2:6" x14ac:dyDescent="0.25">
      <c r="B14" s="3" t="s">
        <v>6</v>
      </c>
    </row>
    <row r="15" spans="2:6" x14ac:dyDescent="0.25">
      <c r="B15" s="4" t="s">
        <v>7</v>
      </c>
      <c r="C15" s="5">
        <v>200</v>
      </c>
    </row>
    <row r="16" spans="2:6" x14ac:dyDescent="0.25">
      <c r="B16" s="4" t="s">
        <v>8</v>
      </c>
      <c r="C16" s="5">
        <v>52</v>
      </c>
    </row>
    <row r="17" spans="2:6" x14ac:dyDescent="0.25">
      <c r="B17" s="4" t="s">
        <v>9</v>
      </c>
      <c r="C17" s="5" t="s">
        <v>10</v>
      </c>
    </row>
    <row r="18" spans="2:6" x14ac:dyDescent="0.25">
      <c r="B18" s="4" t="s">
        <v>11</v>
      </c>
      <c r="C18" s="5" t="s">
        <v>12</v>
      </c>
    </row>
    <row r="20" spans="2:6" x14ac:dyDescent="0.25">
      <c r="B20" s="3" t="s">
        <v>13</v>
      </c>
    </row>
    <row r="21" spans="2:6" x14ac:dyDescent="0.25">
      <c r="B21" s="6" t="s">
        <v>14</v>
      </c>
      <c r="C21" s="6" t="s">
        <v>15</v>
      </c>
    </row>
    <row r="22" spans="2:6" x14ac:dyDescent="0.25">
      <c r="B22" s="5" t="s">
        <v>16</v>
      </c>
      <c r="C22" s="7">
        <f>AVERAGEIF('Card Rankings'!$C$2:$C$53,"hearts",'Card Rankings'!$G$2:$G$53)</f>
        <v>0.51227752639517354</v>
      </c>
    </row>
    <row r="23" spans="2:6" x14ac:dyDescent="0.25">
      <c r="B23" s="5" t="s">
        <v>17</v>
      </c>
      <c r="C23" s="7">
        <f>AVERAGEIF('Card Rankings'!$C$2:$C$53,"diamonds",'Card Rankings'!$G$2:$G$53)</f>
        <v>0.53429110105580691</v>
      </c>
    </row>
    <row r="24" spans="2:6" x14ac:dyDescent="0.25">
      <c r="B24" s="5" t="s">
        <v>18</v>
      </c>
      <c r="C24" s="7">
        <f>AVERAGEIF('Card Rankings'!$C$2:$C$53,"clubs",'Card Rankings'!$G$2:$G$53)</f>
        <v>0.41729260935143286</v>
      </c>
    </row>
    <row r="25" spans="2:6" x14ac:dyDescent="0.25">
      <c r="B25" s="5" t="s">
        <v>19</v>
      </c>
      <c r="C25" s="7">
        <f>AVERAGEIF('Card Rankings'!$C$2:$C$53,"spades",'Card Rankings'!$G$2:$G$53)</f>
        <v>0.52937405731523368</v>
      </c>
    </row>
    <row r="30" spans="2:6" ht="25.5" x14ac:dyDescent="0.25">
      <c r="B30" s="3" t="s">
        <v>20</v>
      </c>
    </row>
    <row r="31" spans="2:6" x14ac:dyDescent="0.25">
      <c r="B31" s="18" t="s">
        <v>21</v>
      </c>
      <c r="C31" s="19"/>
      <c r="D31" s="19"/>
      <c r="E31" s="19"/>
      <c r="F31" s="19"/>
    </row>
    <row r="32" spans="2:6" x14ac:dyDescent="0.25">
      <c r="B32" s="19"/>
      <c r="C32" s="19"/>
      <c r="D32" s="19"/>
      <c r="E32" s="19"/>
      <c r="F32" s="19"/>
    </row>
    <row r="33" spans="2:6" x14ac:dyDescent="0.25">
      <c r="B33" s="19"/>
      <c r="C33" s="19"/>
      <c r="D33" s="19"/>
      <c r="E33" s="19"/>
      <c r="F33" s="19"/>
    </row>
    <row r="34" spans="2:6" x14ac:dyDescent="0.25">
      <c r="B34" s="19"/>
      <c r="C34" s="19"/>
      <c r="D34" s="19"/>
      <c r="E34" s="19"/>
      <c r="F34" s="19"/>
    </row>
    <row r="36" spans="2:6" ht="25.5" x14ac:dyDescent="0.25">
      <c r="B36" s="3" t="s">
        <v>22</v>
      </c>
    </row>
    <row r="37" spans="2:6" x14ac:dyDescent="0.25">
      <c r="B37" s="18" t="s">
        <v>23</v>
      </c>
      <c r="C37" s="19"/>
      <c r="D37" s="19"/>
      <c r="E37" s="19"/>
      <c r="F37" s="19"/>
    </row>
    <row r="38" spans="2:6" x14ac:dyDescent="0.25">
      <c r="B38" s="18" t="s">
        <v>24</v>
      </c>
      <c r="C38" s="19"/>
      <c r="D38" s="19"/>
      <c r="E38" s="19"/>
      <c r="F38" s="19"/>
    </row>
    <row r="39" spans="2:6" x14ac:dyDescent="0.25">
      <c r="B39" s="18" t="s">
        <v>25</v>
      </c>
      <c r="C39" s="19"/>
      <c r="D39" s="19"/>
      <c r="E39" s="19"/>
      <c r="F39" s="19"/>
    </row>
    <row r="40" spans="2:6" x14ac:dyDescent="0.25">
      <c r="B40" s="18" t="s">
        <v>26</v>
      </c>
      <c r="C40" s="19"/>
      <c r="D40" s="19"/>
      <c r="E40" s="19"/>
      <c r="F40" s="19"/>
    </row>
    <row r="42" spans="2:6" x14ac:dyDescent="0.25">
      <c r="B42" s="20" t="s">
        <v>27</v>
      </c>
      <c r="C42" s="19"/>
      <c r="D42" s="19"/>
      <c r="E42" s="19"/>
      <c r="F42" s="19"/>
    </row>
    <row r="43" spans="2:6" x14ac:dyDescent="0.25">
      <c r="B43" s="19"/>
      <c r="C43" s="19"/>
      <c r="D43" s="19"/>
      <c r="E43" s="19"/>
      <c r="F43" s="19"/>
    </row>
    <row r="45" spans="2:6" x14ac:dyDescent="0.25">
      <c r="B45" s="21" t="s">
        <v>28</v>
      </c>
      <c r="C45" s="19"/>
      <c r="D45" s="19"/>
      <c r="E45" s="19"/>
      <c r="F45" s="19"/>
    </row>
    <row r="46" spans="2:6" x14ac:dyDescent="0.25">
      <c r="B46" s="19"/>
      <c r="C46" s="19"/>
      <c r="D46" s="19"/>
      <c r="E46" s="19"/>
      <c r="F46" s="19"/>
    </row>
  </sheetData>
  <mergeCells count="9">
    <mergeCell ref="B6:F7"/>
    <mergeCell ref="B31:F34"/>
    <mergeCell ref="B10:F12"/>
    <mergeCell ref="B39:F39"/>
    <mergeCell ref="B38:F38"/>
    <mergeCell ref="B42:F43"/>
    <mergeCell ref="B37:F37"/>
    <mergeCell ref="B45:F46"/>
    <mergeCell ref="B40:F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5" customWidth="1"/>
    <col min="2" max="2" width="8" customWidth="1"/>
    <col min="3" max="3" width="11" customWidth="1"/>
    <col min="4" max="4" width="6" customWidth="1"/>
    <col min="5" max="5" width="9" customWidth="1"/>
    <col min="6" max="6" width="8" customWidth="1"/>
    <col min="7" max="7" width="9" customWidth="1"/>
    <col min="8" max="8" width="8" customWidth="1"/>
    <col min="9" max="10" width="14" customWidth="1"/>
    <col min="11" max="12" width="15" customWidth="1"/>
  </cols>
  <sheetData>
    <row r="1" spans="1:12" x14ac:dyDescent="0.25">
      <c r="A1" s="8" t="s">
        <v>29</v>
      </c>
      <c r="B1" s="8" t="s">
        <v>30</v>
      </c>
      <c r="C1" s="8" t="s">
        <v>14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8" t="s">
        <v>38</v>
      </c>
      <c r="L1" s="8" t="s">
        <v>39</v>
      </c>
    </row>
    <row r="2" spans="1:12" x14ac:dyDescent="0.25">
      <c r="A2" s="9">
        <v>1</v>
      </c>
      <c r="B2" s="10" t="s">
        <v>40</v>
      </c>
      <c r="C2" s="11" t="s">
        <v>41</v>
      </c>
      <c r="D2" s="9">
        <v>14</v>
      </c>
      <c r="E2" s="9">
        <v>10200</v>
      </c>
      <c r="F2" s="9">
        <v>9610</v>
      </c>
      <c r="G2" s="12">
        <f t="shared" ref="G2:G33" si="0">F2/E2</f>
        <v>0.94215686274509802</v>
      </c>
      <c r="H2" s="9">
        <v>0</v>
      </c>
      <c r="I2" s="13">
        <v>7872460</v>
      </c>
      <c r="J2" s="13">
        <v>7116501</v>
      </c>
      <c r="K2" s="13">
        <f t="shared" ref="K2:K33" si="1">I2/E2</f>
        <v>771.80980392156857</v>
      </c>
      <c r="L2" s="13">
        <f t="shared" ref="L2:L33" si="2">J2/E2</f>
        <v>697.69617647058828</v>
      </c>
    </row>
    <row r="3" spans="1:12" x14ac:dyDescent="0.25">
      <c r="A3" s="9">
        <v>2</v>
      </c>
      <c r="B3" s="10" t="s">
        <v>42</v>
      </c>
      <c r="C3" s="11" t="s">
        <v>43</v>
      </c>
      <c r="D3" s="9">
        <v>14</v>
      </c>
      <c r="E3" s="9">
        <v>10200</v>
      </c>
      <c r="F3" s="9">
        <v>9299</v>
      </c>
      <c r="G3" s="12">
        <f t="shared" si="0"/>
        <v>0.91166666666666663</v>
      </c>
      <c r="H3" s="9">
        <v>0</v>
      </c>
      <c r="I3" s="13">
        <v>6383680</v>
      </c>
      <c r="J3" s="13">
        <v>5894148</v>
      </c>
      <c r="K3" s="13">
        <f t="shared" si="1"/>
        <v>625.85098039215688</v>
      </c>
      <c r="L3" s="13">
        <f t="shared" si="2"/>
        <v>577.85764705882355</v>
      </c>
    </row>
    <row r="4" spans="1:12" x14ac:dyDescent="0.25">
      <c r="A4" s="9">
        <v>3</v>
      </c>
      <c r="B4" s="10" t="s">
        <v>44</v>
      </c>
      <c r="C4" s="11" t="s">
        <v>41</v>
      </c>
      <c r="D4" s="9">
        <v>13</v>
      </c>
      <c r="E4" s="9">
        <v>10200</v>
      </c>
      <c r="F4" s="9">
        <v>9142</v>
      </c>
      <c r="G4" s="12">
        <f t="shared" si="0"/>
        <v>0.89627450980392154</v>
      </c>
      <c r="H4" s="9">
        <v>0</v>
      </c>
      <c r="I4" s="13">
        <v>8324450</v>
      </c>
      <c r="J4" s="13">
        <v>8220675</v>
      </c>
      <c r="K4" s="13">
        <f t="shared" si="1"/>
        <v>816.12254901960785</v>
      </c>
      <c r="L4" s="13">
        <f t="shared" si="2"/>
        <v>805.94852941176475</v>
      </c>
    </row>
    <row r="5" spans="1:12" x14ac:dyDescent="0.25">
      <c r="A5" s="9">
        <v>4</v>
      </c>
      <c r="B5" s="10" t="s">
        <v>45</v>
      </c>
      <c r="C5" s="11" t="s">
        <v>43</v>
      </c>
      <c r="D5" s="9">
        <v>13</v>
      </c>
      <c r="E5" s="9">
        <v>10200</v>
      </c>
      <c r="F5" s="9">
        <v>8888</v>
      </c>
      <c r="G5" s="12">
        <f t="shared" si="0"/>
        <v>0.87137254901960781</v>
      </c>
      <c r="H5" s="9">
        <v>0</v>
      </c>
      <c r="I5" s="13">
        <v>6081820</v>
      </c>
      <c r="J5" s="13">
        <v>6175989</v>
      </c>
      <c r="K5" s="13">
        <f t="shared" si="1"/>
        <v>596.25686274509803</v>
      </c>
      <c r="L5" s="13">
        <f t="shared" si="2"/>
        <v>605.48911764705883</v>
      </c>
    </row>
    <row r="6" spans="1:12" x14ac:dyDescent="0.25">
      <c r="A6" s="9">
        <v>5</v>
      </c>
      <c r="B6" s="10" t="s">
        <v>46</v>
      </c>
      <c r="C6" s="11" t="s">
        <v>47</v>
      </c>
      <c r="D6" s="9">
        <v>14</v>
      </c>
      <c r="E6" s="9">
        <v>10200</v>
      </c>
      <c r="F6" s="9">
        <v>8851</v>
      </c>
      <c r="G6" s="12">
        <f t="shared" si="0"/>
        <v>0.86774509803921573</v>
      </c>
      <c r="H6" s="9">
        <v>0</v>
      </c>
      <c r="I6" s="13">
        <v>7347630</v>
      </c>
      <c r="J6" s="13">
        <v>1084128</v>
      </c>
      <c r="K6" s="13">
        <f t="shared" si="1"/>
        <v>720.35588235294119</v>
      </c>
      <c r="L6" s="13">
        <f t="shared" si="2"/>
        <v>106.28705882352941</v>
      </c>
    </row>
    <row r="7" spans="1:12" x14ac:dyDescent="0.25">
      <c r="A7" s="9">
        <v>6</v>
      </c>
      <c r="B7" s="10" t="s">
        <v>48</v>
      </c>
      <c r="C7" s="11" t="s">
        <v>41</v>
      </c>
      <c r="D7" s="9">
        <v>12</v>
      </c>
      <c r="E7" s="9">
        <v>10200</v>
      </c>
      <c r="F7" s="9">
        <v>8592</v>
      </c>
      <c r="G7" s="12">
        <f t="shared" si="0"/>
        <v>0.84235294117647064</v>
      </c>
      <c r="H7" s="9">
        <v>0</v>
      </c>
      <c r="I7" s="13">
        <v>7912500</v>
      </c>
      <c r="J7" s="13">
        <v>8412354</v>
      </c>
      <c r="K7" s="13">
        <f t="shared" si="1"/>
        <v>775.73529411764707</v>
      </c>
      <c r="L7" s="13">
        <f t="shared" si="2"/>
        <v>824.74058823529413</v>
      </c>
    </row>
    <row r="8" spans="1:12" x14ac:dyDescent="0.25">
      <c r="A8" s="9">
        <v>7</v>
      </c>
      <c r="B8" s="10" t="s">
        <v>49</v>
      </c>
      <c r="C8" s="11" t="s">
        <v>43</v>
      </c>
      <c r="D8" s="9">
        <v>12</v>
      </c>
      <c r="E8" s="9">
        <v>10200</v>
      </c>
      <c r="F8" s="9">
        <v>8592</v>
      </c>
      <c r="G8" s="12">
        <f t="shared" si="0"/>
        <v>0.84235294117647064</v>
      </c>
      <c r="H8" s="9">
        <v>0</v>
      </c>
      <c r="I8" s="13">
        <v>6003600</v>
      </c>
      <c r="J8" s="13">
        <v>5470680</v>
      </c>
      <c r="K8" s="13">
        <f t="shared" si="1"/>
        <v>588.58823529411768</v>
      </c>
      <c r="L8" s="13">
        <f t="shared" si="2"/>
        <v>536.34117647058827</v>
      </c>
    </row>
    <row r="9" spans="1:12" x14ac:dyDescent="0.25">
      <c r="A9" s="9">
        <v>8</v>
      </c>
      <c r="B9" s="10" t="s">
        <v>50</v>
      </c>
      <c r="C9" s="11" t="s">
        <v>47</v>
      </c>
      <c r="D9" s="9">
        <v>13</v>
      </c>
      <c r="E9" s="9">
        <v>10200</v>
      </c>
      <c r="F9" s="9">
        <v>8331</v>
      </c>
      <c r="G9" s="12">
        <f t="shared" si="0"/>
        <v>0.81676470588235295</v>
      </c>
      <c r="H9" s="9">
        <v>0</v>
      </c>
      <c r="I9" s="13">
        <v>6873780</v>
      </c>
      <c r="J9" s="13">
        <v>1145871</v>
      </c>
      <c r="K9" s="13">
        <f t="shared" si="1"/>
        <v>673.9</v>
      </c>
      <c r="L9" s="13">
        <f t="shared" si="2"/>
        <v>112.34029411764706</v>
      </c>
    </row>
    <row r="10" spans="1:12" x14ac:dyDescent="0.25">
      <c r="A10" s="9">
        <v>9</v>
      </c>
      <c r="B10" s="10" t="s">
        <v>51</v>
      </c>
      <c r="C10" s="11" t="s">
        <v>41</v>
      </c>
      <c r="D10" s="9">
        <v>11</v>
      </c>
      <c r="E10" s="9">
        <v>10200</v>
      </c>
      <c r="F10" s="9">
        <v>8173</v>
      </c>
      <c r="G10" s="12">
        <f t="shared" si="0"/>
        <v>0.80127450980392156</v>
      </c>
      <c r="H10" s="9">
        <v>0</v>
      </c>
      <c r="I10" s="13">
        <v>7433310</v>
      </c>
      <c r="J10" s="13">
        <v>8532613</v>
      </c>
      <c r="K10" s="13">
        <f t="shared" si="1"/>
        <v>728.75588235294117</v>
      </c>
      <c r="L10" s="13">
        <f t="shared" si="2"/>
        <v>836.53068627450978</v>
      </c>
    </row>
    <row r="11" spans="1:12" x14ac:dyDescent="0.25">
      <c r="A11" s="9">
        <v>10</v>
      </c>
      <c r="B11" s="10" t="s">
        <v>52</v>
      </c>
      <c r="C11" s="11" t="s">
        <v>47</v>
      </c>
      <c r="D11" s="9">
        <v>12</v>
      </c>
      <c r="E11" s="9">
        <v>10200</v>
      </c>
      <c r="F11" s="9">
        <v>7861</v>
      </c>
      <c r="G11" s="12">
        <f t="shared" si="0"/>
        <v>0.77068627450980387</v>
      </c>
      <c r="H11" s="9">
        <v>0</v>
      </c>
      <c r="I11" s="13">
        <v>6141180</v>
      </c>
      <c r="J11" s="13">
        <v>1166333</v>
      </c>
      <c r="K11" s="13">
        <f t="shared" si="1"/>
        <v>602.07647058823534</v>
      </c>
      <c r="L11" s="13">
        <f t="shared" si="2"/>
        <v>114.34637254901961</v>
      </c>
    </row>
    <row r="12" spans="1:12" x14ac:dyDescent="0.25">
      <c r="A12" s="9">
        <v>11</v>
      </c>
      <c r="B12" s="10" t="s">
        <v>53</v>
      </c>
      <c r="C12" s="11" t="s">
        <v>54</v>
      </c>
      <c r="D12" s="9">
        <v>13</v>
      </c>
      <c r="E12" s="9">
        <v>10200</v>
      </c>
      <c r="F12" s="9">
        <v>7795</v>
      </c>
      <c r="G12" s="12">
        <f t="shared" si="0"/>
        <v>0.76421568627450975</v>
      </c>
      <c r="H12" s="9">
        <v>0</v>
      </c>
      <c r="I12" s="13">
        <v>4838140</v>
      </c>
      <c r="J12" s="13">
        <v>1829609</v>
      </c>
      <c r="K12" s="13">
        <f t="shared" si="1"/>
        <v>474.32745098039214</v>
      </c>
      <c r="L12" s="13">
        <f t="shared" si="2"/>
        <v>179.37343137254902</v>
      </c>
    </row>
    <row r="13" spans="1:12" x14ac:dyDescent="0.25">
      <c r="A13" s="9">
        <v>12</v>
      </c>
      <c r="B13" s="10" t="s">
        <v>55</v>
      </c>
      <c r="C13" s="11" t="s">
        <v>43</v>
      </c>
      <c r="D13" s="9">
        <v>11</v>
      </c>
      <c r="E13" s="9">
        <v>10200</v>
      </c>
      <c r="F13" s="9">
        <v>7375</v>
      </c>
      <c r="G13" s="12">
        <f t="shared" si="0"/>
        <v>0.72303921568627449</v>
      </c>
      <c r="H13" s="9">
        <v>23</v>
      </c>
      <c r="I13" s="13">
        <v>5928320</v>
      </c>
      <c r="J13" s="13">
        <v>7030243</v>
      </c>
      <c r="K13" s="13">
        <f t="shared" si="1"/>
        <v>581.20784313725494</v>
      </c>
      <c r="L13" s="13">
        <f t="shared" si="2"/>
        <v>689.23950980392158</v>
      </c>
    </row>
    <row r="14" spans="1:12" x14ac:dyDescent="0.25">
      <c r="A14" s="9">
        <v>13</v>
      </c>
      <c r="B14" s="10" t="s">
        <v>56</v>
      </c>
      <c r="C14" s="11" t="s">
        <v>41</v>
      </c>
      <c r="D14" s="9">
        <v>10</v>
      </c>
      <c r="E14" s="9">
        <v>10200</v>
      </c>
      <c r="F14" s="9">
        <v>7167</v>
      </c>
      <c r="G14" s="12">
        <f t="shared" si="0"/>
        <v>0.7026470588235294</v>
      </c>
      <c r="H14" s="9">
        <v>0</v>
      </c>
      <c r="I14" s="13">
        <v>6402435</v>
      </c>
      <c r="J14" s="13">
        <v>8223833</v>
      </c>
      <c r="K14" s="13">
        <f t="shared" si="1"/>
        <v>627.689705882353</v>
      </c>
      <c r="L14" s="13">
        <f t="shared" si="2"/>
        <v>806.25813725490195</v>
      </c>
    </row>
    <row r="15" spans="1:12" x14ac:dyDescent="0.25">
      <c r="A15" s="9">
        <v>14</v>
      </c>
      <c r="B15" s="10" t="s">
        <v>57</v>
      </c>
      <c r="C15" s="11" t="s">
        <v>54</v>
      </c>
      <c r="D15" s="9">
        <v>12</v>
      </c>
      <c r="E15" s="9">
        <v>10200</v>
      </c>
      <c r="F15" s="9">
        <v>7143</v>
      </c>
      <c r="G15" s="12">
        <f t="shared" si="0"/>
        <v>0.70029411764705884</v>
      </c>
      <c r="H15" s="9">
        <v>0</v>
      </c>
      <c r="I15" s="13">
        <v>4545690</v>
      </c>
      <c r="J15" s="13">
        <v>2044383</v>
      </c>
      <c r="K15" s="13">
        <f t="shared" si="1"/>
        <v>445.65588235294115</v>
      </c>
      <c r="L15" s="13">
        <f t="shared" si="2"/>
        <v>200.42970588235295</v>
      </c>
    </row>
    <row r="16" spans="1:12" x14ac:dyDescent="0.25">
      <c r="A16" s="9">
        <v>15</v>
      </c>
      <c r="B16" s="10" t="s">
        <v>58</v>
      </c>
      <c r="C16" s="11" t="s">
        <v>43</v>
      </c>
      <c r="D16" s="9">
        <v>10</v>
      </c>
      <c r="E16" s="9">
        <v>10200</v>
      </c>
      <c r="F16" s="9">
        <v>6947</v>
      </c>
      <c r="G16" s="12">
        <f t="shared" si="0"/>
        <v>0.68107843137254898</v>
      </c>
      <c r="H16" s="9">
        <v>0</v>
      </c>
      <c r="I16" s="13">
        <v>4749500</v>
      </c>
      <c r="J16" s="13">
        <v>6650633</v>
      </c>
      <c r="K16" s="13">
        <f t="shared" si="1"/>
        <v>465.63725490196077</v>
      </c>
      <c r="L16" s="13">
        <f t="shared" si="2"/>
        <v>652.02284313725488</v>
      </c>
    </row>
    <row r="17" spans="1:12" x14ac:dyDescent="0.25">
      <c r="A17" s="9">
        <v>16</v>
      </c>
      <c r="B17" s="10" t="s">
        <v>59</v>
      </c>
      <c r="C17" s="11" t="s">
        <v>47</v>
      </c>
      <c r="D17" s="9">
        <v>10</v>
      </c>
      <c r="E17" s="9">
        <v>10200</v>
      </c>
      <c r="F17" s="9">
        <v>6753</v>
      </c>
      <c r="G17" s="12">
        <f t="shared" si="0"/>
        <v>0.66205882352941181</v>
      </c>
      <c r="H17" s="9">
        <v>50</v>
      </c>
      <c r="I17" s="13">
        <v>4893825</v>
      </c>
      <c r="J17" s="13">
        <v>1253726</v>
      </c>
      <c r="K17" s="13">
        <f t="shared" si="1"/>
        <v>479.78676470588238</v>
      </c>
      <c r="L17" s="13">
        <f t="shared" si="2"/>
        <v>122.9143137254902</v>
      </c>
    </row>
    <row r="18" spans="1:12" x14ac:dyDescent="0.25">
      <c r="A18" s="9">
        <v>17</v>
      </c>
      <c r="B18" s="10" t="s">
        <v>60</v>
      </c>
      <c r="C18" s="11" t="s">
        <v>54</v>
      </c>
      <c r="D18" s="9">
        <v>11</v>
      </c>
      <c r="E18" s="9">
        <v>10200</v>
      </c>
      <c r="F18" s="9">
        <v>6689</v>
      </c>
      <c r="G18" s="12">
        <f t="shared" si="0"/>
        <v>0.65578431372549018</v>
      </c>
      <c r="H18" s="9">
        <v>0</v>
      </c>
      <c r="I18" s="13">
        <v>4285150</v>
      </c>
      <c r="J18" s="13">
        <v>2228507</v>
      </c>
      <c r="K18" s="13">
        <f t="shared" si="1"/>
        <v>420.11274509803923</v>
      </c>
      <c r="L18" s="13">
        <f t="shared" si="2"/>
        <v>218.48107843137254</v>
      </c>
    </row>
    <row r="19" spans="1:12" x14ac:dyDescent="0.25">
      <c r="A19" s="9">
        <v>18</v>
      </c>
      <c r="B19" s="10" t="s">
        <v>61</v>
      </c>
      <c r="C19" s="11" t="s">
        <v>41</v>
      </c>
      <c r="D19" s="9">
        <v>9</v>
      </c>
      <c r="E19" s="9">
        <v>10200</v>
      </c>
      <c r="F19" s="9">
        <v>6509</v>
      </c>
      <c r="G19" s="12">
        <f t="shared" si="0"/>
        <v>0.63813725490196083</v>
      </c>
      <c r="H19" s="9">
        <v>0</v>
      </c>
      <c r="I19" s="13">
        <v>5459745</v>
      </c>
      <c r="J19" s="13">
        <v>6955005</v>
      </c>
      <c r="K19" s="13">
        <f t="shared" si="1"/>
        <v>535.26911764705881</v>
      </c>
      <c r="L19" s="13">
        <f t="shared" si="2"/>
        <v>681.86323529411766</v>
      </c>
    </row>
    <row r="20" spans="1:12" x14ac:dyDescent="0.25">
      <c r="A20" s="9">
        <v>19</v>
      </c>
      <c r="B20" s="10" t="s">
        <v>62</v>
      </c>
      <c r="C20" s="11" t="s">
        <v>43</v>
      </c>
      <c r="D20" s="9">
        <v>9</v>
      </c>
      <c r="E20" s="9">
        <v>10200</v>
      </c>
      <c r="F20" s="9">
        <v>6428</v>
      </c>
      <c r="G20" s="12">
        <f t="shared" si="0"/>
        <v>0.6301960784313726</v>
      </c>
      <c r="H20" s="9">
        <v>0</v>
      </c>
      <c r="I20" s="13">
        <v>4698740</v>
      </c>
      <c r="J20" s="13">
        <v>6673310</v>
      </c>
      <c r="K20" s="13">
        <f t="shared" si="1"/>
        <v>460.66078431372551</v>
      </c>
      <c r="L20" s="13">
        <f t="shared" si="2"/>
        <v>654.24607843137255</v>
      </c>
    </row>
    <row r="21" spans="1:12" x14ac:dyDescent="0.25">
      <c r="A21" s="9">
        <v>20</v>
      </c>
      <c r="B21" s="10" t="s">
        <v>63</v>
      </c>
      <c r="C21" s="11" t="s">
        <v>47</v>
      </c>
      <c r="D21" s="9">
        <v>11</v>
      </c>
      <c r="E21" s="9">
        <v>10200</v>
      </c>
      <c r="F21" s="9">
        <v>6385</v>
      </c>
      <c r="G21" s="12">
        <f t="shared" si="0"/>
        <v>0.62598039215686274</v>
      </c>
      <c r="H21" s="9">
        <v>0</v>
      </c>
      <c r="I21" s="13">
        <v>5047230</v>
      </c>
      <c r="J21" s="13">
        <v>1546466</v>
      </c>
      <c r="K21" s="13">
        <f t="shared" si="1"/>
        <v>494.82647058823528</v>
      </c>
      <c r="L21" s="13">
        <f t="shared" si="2"/>
        <v>151.61431372549021</v>
      </c>
    </row>
    <row r="22" spans="1:12" x14ac:dyDescent="0.25">
      <c r="A22" s="9">
        <v>21</v>
      </c>
      <c r="B22" s="10" t="s">
        <v>64</v>
      </c>
      <c r="C22" s="11" t="s">
        <v>47</v>
      </c>
      <c r="D22" s="9">
        <v>9</v>
      </c>
      <c r="E22" s="9">
        <v>10200</v>
      </c>
      <c r="F22" s="9">
        <v>6119</v>
      </c>
      <c r="G22" s="12">
        <f t="shared" si="0"/>
        <v>0.59990196078431368</v>
      </c>
      <c r="H22" s="9">
        <v>33</v>
      </c>
      <c r="I22" s="13">
        <v>4465395</v>
      </c>
      <c r="J22" s="13">
        <v>1370486</v>
      </c>
      <c r="K22" s="13">
        <f t="shared" si="1"/>
        <v>437.78382352941179</v>
      </c>
      <c r="L22" s="13">
        <f t="shared" si="2"/>
        <v>134.36137254901962</v>
      </c>
    </row>
    <row r="23" spans="1:12" x14ac:dyDescent="0.25">
      <c r="A23" s="9">
        <v>22</v>
      </c>
      <c r="B23" s="10" t="s">
        <v>65</v>
      </c>
      <c r="C23" s="11" t="s">
        <v>54</v>
      </c>
      <c r="D23" s="9">
        <v>10</v>
      </c>
      <c r="E23" s="9">
        <v>10200</v>
      </c>
      <c r="F23" s="9">
        <v>5828</v>
      </c>
      <c r="G23" s="12">
        <f t="shared" si="0"/>
        <v>0.57137254901960788</v>
      </c>
      <c r="H23" s="9">
        <v>0</v>
      </c>
      <c r="I23" s="13">
        <v>3950245</v>
      </c>
      <c r="J23" s="13">
        <v>2423688</v>
      </c>
      <c r="K23" s="13">
        <f t="shared" si="1"/>
        <v>387.27892156862742</v>
      </c>
      <c r="L23" s="13">
        <f t="shared" si="2"/>
        <v>237.6164705882353</v>
      </c>
    </row>
    <row r="24" spans="1:12" x14ac:dyDescent="0.25">
      <c r="A24" s="9">
        <v>23</v>
      </c>
      <c r="B24" s="10" t="s">
        <v>66</v>
      </c>
      <c r="C24" s="11" t="s">
        <v>41</v>
      </c>
      <c r="D24" s="9">
        <v>8</v>
      </c>
      <c r="E24" s="9">
        <v>10200</v>
      </c>
      <c r="F24" s="9">
        <v>5789</v>
      </c>
      <c r="G24" s="12">
        <f t="shared" si="0"/>
        <v>0.5675490196078431</v>
      </c>
      <c r="H24" s="9">
        <v>0</v>
      </c>
      <c r="I24" s="13">
        <v>4949900</v>
      </c>
      <c r="J24" s="13">
        <v>7293170</v>
      </c>
      <c r="K24" s="13">
        <f t="shared" si="1"/>
        <v>485.28431372549022</v>
      </c>
      <c r="L24" s="13">
        <f t="shared" si="2"/>
        <v>715.01666666666665</v>
      </c>
    </row>
    <row r="25" spans="1:12" x14ac:dyDescent="0.25">
      <c r="A25" s="9">
        <v>24</v>
      </c>
      <c r="B25" s="10" t="s">
        <v>67</v>
      </c>
      <c r="C25" s="11" t="s">
        <v>47</v>
      </c>
      <c r="D25" s="9">
        <v>8</v>
      </c>
      <c r="E25" s="9">
        <v>10200</v>
      </c>
      <c r="F25" s="9">
        <v>5591</v>
      </c>
      <c r="G25" s="12">
        <f t="shared" si="0"/>
        <v>0.54813725490196075</v>
      </c>
      <c r="H25" s="9">
        <v>0</v>
      </c>
      <c r="I25" s="13">
        <v>3982155</v>
      </c>
      <c r="J25" s="13">
        <v>1408346</v>
      </c>
      <c r="K25" s="13">
        <f t="shared" si="1"/>
        <v>390.4073529411765</v>
      </c>
      <c r="L25" s="13">
        <f t="shared" si="2"/>
        <v>138.07313725490195</v>
      </c>
    </row>
    <row r="26" spans="1:12" x14ac:dyDescent="0.25">
      <c r="A26" s="9">
        <v>25</v>
      </c>
      <c r="B26" s="10" t="s">
        <v>68</v>
      </c>
      <c r="C26" s="11" t="s">
        <v>54</v>
      </c>
      <c r="D26" s="9">
        <v>9</v>
      </c>
      <c r="E26" s="9">
        <v>10200</v>
      </c>
      <c r="F26" s="9">
        <v>5303</v>
      </c>
      <c r="G26" s="12">
        <f t="shared" si="0"/>
        <v>0.51990196078431372</v>
      </c>
      <c r="H26" s="9">
        <v>0</v>
      </c>
      <c r="I26" s="13">
        <v>3827715</v>
      </c>
      <c r="J26" s="13">
        <v>2475105</v>
      </c>
      <c r="K26" s="13">
        <f t="shared" si="1"/>
        <v>375.26617647058822</v>
      </c>
      <c r="L26" s="13">
        <f t="shared" si="2"/>
        <v>242.65735294117647</v>
      </c>
    </row>
    <row r="27" spans="1:12" x14ac:dyDescent="0.25">
      <c r="A27" s="9">
        <v>26</v>
      </c>
      <c r="B27" s="10" t="s">
        <v>69</v>
      </c>
      <c r="C27" s="11" t="s">
        <v>47</v>
      </c>
      <c r="D27" s="9">
        <v>7</v>
      </c>
      <c r="E27" s="9">
        <v>10200</v>
      </c>
      <c r="F27" s="9">
        <v>5271</v>
      </c>
      <c r="G27" s="12">
        <f t="shared" si="0"/>
        <v>0.5167647058823529</v>
      </c>
      <c r="H27" s="9">
        <v>2</v>
      </c>
      <c r="I27" s="13">
        <v>4106381</v>
      </c>
      <c r="J27" s="13">
        <v>1452420</v>
      </c>
      <c r="K27" s="13">
        <f t="shared" si="1"/>
        <v>402.58637254901959</v>
      </c>
      <c r="L27" s="13">
        <f t="shared" si="2"/>
        <v>142.39411764705883</v>
      </c>
    </row>
    <row r="28" spans="1:12" x14ac:dyDescent="0.25">
      <c r="A28" s="9">
        <v>27</v>
      </c>
      <c r="B28" s="10" t="s">
        <v>70</v>
      </c>
      <c r="C28" s="11" t="s">
        <v>43</v>
      </c>
      <c r="D28" s="9">
        <v>8</v>
      </c>
      <c r="E28" s="9">
        <v>10200</v>
      </c>
      <c r="F28" s="9">
        <v>5236</v>
      </c>
      <c r="G28" s="12">
        <f t="shared" si="0"/>
        <v>0.51333333333333331</v>
      </c>
      <c r="H28" s="9">
        <v>10</v>
      </c>
      <c r="I28" s="13">
        <v>3988055</v>
      </c>
      <c r="J28" s="13">
        <v>6562194</v>
      </c>
      <c r="K28" s="13">
        <f t="shared" si="1"/>
        <v>390.9857843137255</v>
      </c>
      <c r="L28" s="13">
        <f t="shared" si="2"/>
        <v>643.35235294117649</v>
      </c>
    </row>
    <row r="29" spans="1:12" x14ac:dyDescent="0.25">
      <c r="A29" s="9">
        <v>28</v>
      </c>
      <c r="B29" s="10" t="s">
        <v>71</v>
      </c>
      <c r="C29" s="11" t="s">
        <v>41</v>
      </c>
      <c r="D29" s="9">
        <v>7</v>
      </c>
      <c r="E29" s="9">
        <v>10200</v>
      </c>
      <c r="F29" s="9">
        <v>4970</v>
      </c>
      <c r="G29" s="12">
        <f t="shared" si="0"/>
        <v>0.4872549019607843</v>
      </c>
      <c r="H29" s="9">
        <v>0</v>
      </c>
      <c r="I29" s="13">
        <v>4472125</v>
      </c>
      <c r="J29" s="13">
        <v>6729294</v>
      </c>
      <c r="K29" s="13">
        <f t="shared" si="1"/>
        <v>438.44362745098039</v>
      </c>
      <c r="L29" s="13">
        <f t="shared" si="2"/>
        <v>659.73470588235296</v>
      </c>
    </row>
    <row r="30" spans="1:12" x14ac:dyDescent="0.25">
      <c r="A30" s="9">
        <v>29</v>
      </c>
      <c r="B30" s="10" t="s">
        <v>72</v>
      </c>
      <c r="C30" s="11" t="s">
        <v>43</v>
      </c>
      <c r="D30" s="9">
        <v>7</v>
      </c>
      <c r="E30" s="9">
        <v>10200</v>
      </c>
      <c r="F30" s="9">
        <v>4817</v>
      </c>
      <c r="G30" s="12">
        <f t="shared" si="0"/>
        <v>0.47225490196078429</v>
      </c>
      <c r="H30" s="9">
        <v>0</v>
      </c>
      <c r="I30" s="13">
        <v>3558073</v>
      </c>
      <c r="J30" s="13">
        <v>6016924</v>
      </c>
      <c r="K30" s="13">
        <f t="shared" si="1"/>
        <v>348.83068627450979</v>
      </c>
      <c r="L30" s="13">
        <f t="shared" si="2"/>
        <v>589.89450980392155</v>
      </c>
    </row>
    <row r="31" spans="1:12" x14ac:dyDescent="0.25">
      <c r="A31" s="9">
        <v>30</v>
      </c>
      <c r="B31" s="10" t="s">
        <v>73</v>
      </c>
      <c r="C31" s="11" t="s">
        <v>54</v>
      </c>
      <c r="D31" s="9">
        <v>8</v>
      </c>
      <c r="E31" s="9">
        <v>10200</v>
      </c>
      <c r="F31" s="9">
        <v>4572</v>
      </c>
      <c r="G31" s="12">
        <f t="shared" si="0"/>
        <v>0.44823529411764707</v>
      </c>
      <c r="H31" s="9">
        <v>0</v>
      </c>
      <c r="I31" s="13">
        <v>3239500</v>
      </c>
      <c r="J31" s="13">
        <v>2436534</v>
      </c>
      <c r="K31" s="13">
        <f t="shared" si="1"/>
        <v>317.5980392156863</v>
      </c>
      <c r="L31" s="13">
        <f t="shared" si="2"/>
        <v>238.87588235294118</v>
      </c>
    </row>
    <row r="32" spans="1:12" x14ac:dyDescent="0.25">
      <c r="A32" s="9">
        <v>31</v>
      </c>
      <c r="B32" s="10" t="s">
        <v>74</v>
      </c>
      <c r="C32" s="11" t="s">
        <v>47</v>
      </c>
      <c r="D32" s="9">
        <v>5</v>
      </c>
      <c r="E32" s="9">
        <v>10200</v>
      </c>
      <c r="F32" s="9">
        <v>4531</v>
      </c>
      <c r="G32" s="12">
        <f t="shared" si="0"/>
        <v>0.4442156862745098</v>
      </c>
      <c r="H32" s="9">
        <v>90</v>
      </c>
      <c r="I32" s="13">
        <v>2978850</v>
      </c>
      <c r="J32" s="13">
        <v>1442314</v>
      </c>
      <c r="K32" s="13">
        <f t="shared" si="1"/>
        <v>292.04411764705884</v>
      </c>
      <c r="L32" s="13">
        <f t="shared" si="2"/>
        <v>141.40333333333334</v>
      </c>
    </row>
    <row r="33" spans="1:12" x14ac:dyDescent="0.25">
      <c r="A33" s="9">
        <v>32</v>
      </c>
      <c r="B33" s="10" t="s">
        <v>75</v>
      </c>
      <c r="C33" s="11" t="s">
        <v>54</v>
      </c>
      <c r="D33" s="9">
        <v>7</v>
      </c>
      <c r="E33" s="9">
        <v>10200</v>
      </c>
      <c r="F33" s="9">
        <v>4387</v>
      </c>
      <c r="G33" s="12">
        <f t="shared" si="0"/>
        <v>0.43009803921568629</v>
      </c>
      <c r="H33" s="9">
        <v>47</v>
      </c>
      <c r="I33" s="13">
        <v>3155190</v>
      </c>
      <c r="J33" s="13">
        <v>2194374</v>
      </c>
      <c r="K33" s="13">
        <f t="shared" si="1"/>
        <v>309.33235294117645</v>
      </c>
      <c r="L33" s="13">
        <f t="shared" si="2"/>
        <v>215.13470588235293</v>
      </c>
    </row>
    <row r="34" spans="1:12" x14ac:dyDescent="0.25">
      <c r="A34" s="9">
        <v>33</v>
      </c>
      <c r="B34" s="10" t="s">
        <v>76</v>
      </c>
      <c r="C34" s="11" t="s">
        <v>47</v>
      </c>
      <c r="D34" s="9">
        <v>4</v>
      </c>
      <c r="E34" s="9">
        <v>10200</v>
      </c>
      <c r="F34" s="9">
        <v>4326</v>
      </c>
      <c r="G34" s="12">
        <f t="shared" ref="G34:G65" si="3">F34/E34</f>
        <v>0.42411764705882354</v>
      </c>
      <c r="H34" s="9">
        <v>100</v>
      </c>
      <c r="I34" s="13">
        <v>3384240</v>
      </c>
      <c r="J34" s="13">
        <v>1437910</v>
      </c>
      <c r="K34" s="13">
        <f t="shared" ref="K34:K53" si="4">I34/E34</f>
        <v>331.78823529411767</v>
      </c>
      <c r="L34" s="13">
        <f t="shared" ref="L34:L53" si="5">J34/E34</f>
        <v>140.97156862745098</v>
      </c>
    </row>
    <row r="35" spans="1:12" x14ac:dyDescent="0.25">
      <c r="A35" s="9">
        <v>34</v>
      </c>
      <c r="B35" s="10" t="s">
        <v>77</v>
      </c>
      <c r="C35" s="11" t="s">
        <v>47</v>
      </c>
      <c r="D35" s="9">
        <v>6</v>
      </c>
      <c r="E35" s="9">
        <v>10200</v>
      </c>
      <c r="F35" s="9">
        <v>4083</v>
      </c>
      <c r="G35" s="12">
        <f t="shared" si="3"/>
        <v>0.4002941176470588</v>
      </c>
      <c r="H35" s="9">
        <v>116</v>
      </c>
      <c r="I35" s="13">
        <v>3014340</v>
      </c>
      <c r="J35" s="13">
        <v>1685564</v>
      </c>
      <c r="K35" s="13">
        <f t="shared" si="4"/>
        <v>295.52352941176468</v>
      </c>
      <c r="L35" s="13">
        <f t="shared" si="5"/>
        <v>165.25137254901961</v>
      </c>
    </row>
    <row r="36" spans="1:12" x14ac:dyDescent="0.25">
      <c r="A36" s="9">
        <v>35</v>
      </c>
      <c r="B36" s="10" t="s">
        <v>78</v>
      </c>
      <c r="C36" s="11" t="s">
        <v>43</v>
      </c>
      <c r="D36" s="9">
        <v>5</v>
      </c>
      <c r="E36" s="9">
        <v>10200</v>
      </c>
      <c r="F36" s="9">
        <v>3882</v>
      </c>
      <c r="G36" s="12">
        <f t="shared" si="3"/>
        <v>0.38058823529411767</v>
      </c>
      <c r="H36" s="9">
        <v>0</v>
      </c>
      <c r="I36" s="13">
        <v>2584500</v>
      </c>
      <c r="J36" s="13">
        <v>4876182</v>
      </c>
      <c r="K36" s="13">
        <f t="shared" si="4"/>
        <v>253.38235294117646</v>
      </c>
      <c r="L36" s="13">
        <f t="shared" si="5"/>
        <v>478.05705882352942</v>
      </c>
    </row>
    <row r="37" spans="1:12" x14ac:dyDescent="0.25">
      <c r="A37" s="9">
        <v>36</v>
      </c>
      <c r="B37" s="10" t="s">
        <v>79</v>
      </c>
      <c r="C37" s="11" t="s">
        <v>41</v>
      </c>
      <c r="D37" s="9">
        <v>5</v>
      </c>
      <c r="E37" s="9">
        <v>10200</v>
      </c>
      <c r="F37" s="9">
        <v>3738</v>
      </c>
      <c r="G37" s="12">
        <f t="shared" si="3"/>
        <v>0.3664705882352941</v>
      </c>
      <c r="H37" s="9">
        <v>0</v>
      </c>
      <c r="I37" s="13">
        <v>2562620</v>
      </c>
      <c r="J37" s="13">
        <v>4520121</v>
      </c>
      <c r="K37" s="13">
        <f t="shared" si="4"/>
        <v>251.2372549019608</v>
      </c>
      <c r="L37" s="13">
        <f t="shared" si="5"/>
        <v>443.1491176470588</v>
      </c>
    </row>
    <row r="38" spans="1:12" x14ac:dyDescent="0.25">
      <c r="A38" s="9">
        <v>37</v>
      </c>
      <c r="B38" s="10" t="s">
        <v>80</v>
      </c>
      <c r="C38" s="11" t="s">
        <v>54</v>
      </c>
      <c r="D38" s="9">
        <v>5</v>
      </c>
      <c r="E38" s="9">
        <v>10200</v>
      </c>
      <c r="F38" s="9">
        <v>3559</v>
      </c>
      <c r="G38" s="12">
        <f t="shared" si="3"/>
        <v>0.348921568627451</v>
      </c>
      <c r="H38" s="9">
        <v>56</v>
      </c>
      <c r="I38" s="13">
        <v>2208470</v>
      </c>
      <c r="J38" s="13">
        <v>1902432</v>
      </c>
      <c r="K38" s="13">
        <f t="shared" si="4"/>
        <v>216.51666666666668</v>
      </c>
      <c r="L38" s="13">
        <f t="shared" si="5"/>
        <v>186.51294117647058</v>
      </c>
    </row>
    <row r="39" spans="1:12" x14ac:dyDescent="0.25">
      <c r="A39" s="9">
        <v>38</v>
      </c>
      <c r="B39" s="10" t="s">
        <v>81</v>
      </c>
      <c r="C39" s="11" t="s">
        <v>54</v>
      </c>
      <c r="D39" s="9">
        <v>14</v>
      </c>
      <c r="E39" s="9">
        <v>10200</v>
      </c>
      <c r="F39" s="9">
        <v>3499</v>
      </c>
      <c r="G39" s="12">
        <f t="shared" si="3"/>
        <v>0.34303921568627449</v>
      </c>
      <c r="H39" s="9">
        <v>0</v>
      </c>
      <c r="I39" s="13">
        <v>2552725</v>
      </c>
      <c r="J39" s="13">
        <v>4411622</v>
      </c>
      <c r="K39" s="13">
        <f t="shared" si="4"/>
        <v>250.26715686274511</v>
      </c>
      <c r="L39" s="13">
        <f t="shared" si="5"/>
        <v>432.51196078431371</v>
      </c>
    </row>
    <row r="40" spans="1:12" x14ac:dyDescent="0.25">
      <c r="A40" s="9">
        <v>39</v>
      </c>
      <c r="B40" s="10" t="s">
        <v>82</v>
      </c>
      <c r="C40" s="11" t="s">
        <v>43</v>
      </c>
      <c r="D40" s="9">
        <v>6</v>
      </c>
      <c r="E40" s="9">
        <v>10200</v>
      </c>
      <c r="F40" s="9">
        <v>3125</v>
      </c>
      <c r="G40" s="12">
        <f t="shared" si="3"/>
        <v>0.30637254901960786</v>
      </c>
      <c r="H40" s="9">
        <v>0</v>
      </c>
      <c r="I40" s="13">
        <v>2354640</v>
      </c>
      <c r="J40" s="13">
        <v>5944150</v>
      </c>
      <c r="K40" s="13">
        <f t="shared" si="4"/>
        <v>230.84705882352941</v>
      </c>
      <c r="L40" s="13">
        <f t="shared" si="5"/>
        <v>582.75980392156862</v>
      </c>
    </row>
    <row r="41" spans="1:12" x14ac:dyDescent="0.25">
      <c r="A41" s="9">
        <v>40</v>
      </c>
      <c r="B41" s="10" t="s">
        <v>83</v>
      </c>
      <c r="C41" s="11" t="s">
        <v>41</v>
      </c>
      <c r="D41" s="9">
        <v>6</v>
      </c>
      <c r="E41" s="9">
        <v>10200</v>
      </c>
      <c r="F41" s="9">
        <v>2914</v>
      </c>
      <c r="G41" s="12">
        <f t="shared" si="3"/>
        <v>0.28568627450980394</v>
      </c>
      <c r="H41" s="9">
        <v>0</v>
      </c>
      <c r="I41" s="13">
        <v>2307120</v>
      </c>
      <c r="J41" s="13">
        <v>5289511</v>
      </c>
      <c r="K41" s="13">
        <f t="shared" si="4"/>
        <v>226.18823529411765</v>
      </c>
      <c r="L41" s="13">
        <f t="shared" si="5"/>
        <v>518.57950980392161</v>
      </c>
    </row>
    <row r="42" spans="1:12" x14ac:dyDescent="0.25">
      <c r="A42" s="9">
        <v>41</v>
      </c>
      <c r="B42" s="10" t="s">
        <v>84</v>
      </c>
      <c r="C42" s="11" t="s">
        <v>54</v>
      </c>
      <c r="D42" s="9">
        <v>6</v>
      </c>
      <c r="E42" s="9">
        <v>10200</v>
      </c>
      <c r="F42" s="9">
        <v>2846</v>
      </c>
      <c r="G42" s="12">
        <f t="shared" si="3"/>
        <v>0.27901960784313723</v>
      </c>
      <c r="H42" s="9">
        <v>0</v>
      </c>
      <c r="I42" s="13">
        <v>2124360</v>
      </c>
      <c r="J42" s="13">
        <v>2296110</v>
      </c>
      <c r="K42" s="13">
        <f t="shared" si="4"/>
        <v>208.27058823529413</v>
      </c>
      <c r="L42" s="13">
        <f t="shared" si="5"/>
        <v>225.10882352941175</v>
      </c>
    </row>
    <row r="43" spans="1:12" x14ac:dyDescent="0.25">
      <c r="A43" s="9">
        <v>42</v>
      </c>
      <c r="B43" s="10" t="s">
        <v>85</v>
      </c>
      <c r="C43" s="11" t="s">
        <v>41</v>
      </c>
      <c r="D43" s="9">
        <v>4</v>
      </c>
      <c r="E43" s="9">
        <v>10200</v>
      </c>
      <c r="F43" s="9">
        <v>2609</v>
      </c>
      <c r="G43" s="12">
        <f t="shared" si="3"/>
        <v>0.25578431372549021</v>
      </c>
      <c r="H43" s="9">
        <v>0</v>
      </c>
      <c r="I43" s="13">
        <v>2085860</v>
      </c>
      <c r="J43" s="13">
        <v>4191415</v>
      </c>
      <c r="K43" s="13">
        <f t="shared" si="4"/>
        <v>204.49607843137255</v>
      </c>
      <c r="L43" s="13">
        <f t="shared" si="5"/>
        <v>410.92303921568629</v>
      </c>
    </row>
    <row r="44" spans="1:12" x14ac:dyDescent="0.25">
      <c r="A44" s="9">
        <v>43</v>
      </c>
      <c r="B44" s="10" t="s">
        <v>86</v>
      </c>
      <c r="C44" s="11" t="s">
        <v>54</v>
      </c>
      <c r="D44" s="9">
        <v>4</v>
      </c>
      <c r="E44" s="9">
        <v>10200</v>
      </c>
      <c r="F44" s="9">
        <v>2556</v>
      </c>
      <c r="G44" s="12">
        <f t="shared" si="3"/>
        <v>0.25058823529411767</v>
      </c>
      <c r="H44" s="9">
        <v>151</v>
      </c>
      <c r="I44" s="13">
        <v>2399440</v>
      </c>
      <c r="J44" s="13">
        <v>2046520</v>
      </c>
      <c r="K44" s="13">
        <f t="shared" si="4"/>
        <v>235.23921568627452</v>
      </c>
      <c r="L44" s="13">
        <f t="shared" si="5"/>
        <v>200.6392156862745</v>
      </c>
    </row>
    <row r="45" spans="1:12" x14ac:dyDescent="0.25">
      <c r="A45" s="9">
        <v>44</v>
      </c>
      <c r="B45" s="10" t="s">
        <v>87</v>
      </c>
      <c r="C45" s="11" t="s">
        <v>43</v>
      </c>
      <c r="D45" s="9">
        <v>4</v>
      </c>
      <c r="E45" s="9">
        <v>10200</v>
      </c>
      <c r="F45" s="9">
        <v>1741</v>
      </c>
      <c r="G45" s="12">
        <f t="shared" si="3"/>
        <v>0.17068627450980392</v>
      </c>
      <c r="H45" s="9">
        <v>0</v>
      </c>
      <c r="I45" s="13">
        <v>1749895</v>
      </c>
      <c r="J45" s="13">
        <v>4897710</v>
      </c>
      <c r="K45" s="13">
        <f t="shared" si="4"/>
        <v>171.55833333333334</v>
      </c>
      <c r="L45" s="13">
        <f t="shared" si="5"/>
        <v>480.16764705882355</v>
      </c>
    </row>
    <row r="46" spans="1:12" x14ac:dyDescent="0.25">
      <c r="A46" s="9">
        <v>45</v>
      </c>
      <c r="B46" s="10" t="s">
        <v>88</v>
      </c>
      <c r="C46" s="11" t="s">
        <v>47</v>
      </c>
      <c r="D46" s="9">
        <v>3</v>
      </c>
      <c r="E46" s="9">
        <v>10200</v>
      </c>
      <c r="F46" s="9">
        <v>1468</v>
      </c>
      <c r="G46" s="12">
        <f t="shared" si="3"/>
        <v>0.14392156862745098</v>
      </c>
      <c r="H46" s="9">
        <v>300</v>
      </c>
      <c r="I46" s="13">
        <v>1627470</v>
      </c>
      <c r="J46" s="13">
        <v>2054113</v>
      </c>
      <c r="K46" s="13">
        <f t="shared" si="4"/>
        <v>159.55588235294118</v>
      </c>
      <c r="L46" s="13">
        <f t="shared" si="5"/>
        <v>201.38362745098038</v>
      </c>
    </row>
    <row r="47" spans="1:12" x14ac:dyDescent="0.25">
      <c r="A47" s="9">
        <v>46</v>
      </c>
      <c r="B47" s="10" t="s">
        <v>89</v>
      </c>
      <c r="C47" s="11" t="s">
        <v>41</v>
      </c>
      <c r="D47" s="9">
        <v>3</v>
      </c>
      <c r="E47" s="9">
        <v>10200</v>
      </c>
      <c r="F47" s="9">
        <v>1281</v>
      </c>
      <c r="G47" s="12">
        <f t="shared" si="3"/>
        <v>0.12558823529411764</v>
      </c>
      <c r="H47" s="9">
        <v>257</v>
      </c>
      <c r="I47" s="13">
        <v>957060</v>
      </c>
      <c r="J47" s="13">
        <v>2955662</v>
      </c>
      <c r="K47" s="13">
        <f t="shared" si="4"/>
        <v>93.829411764705881</v>
      </c>
      <c r="L47" s="13">
        <f t="shared" si="5"/>
        <v>289.77078431372547</v>
      </c>
    </row>
    <row r="48" spans="1:12" x14ac:dyDescent="0.25">
      <c r="A48" s="9">
        <v>47</v>
      </c>
      <c r="B48" s="10" t="s">
        <v>90</v>
      </c>
      <c r="C48" s="11" t="s">
        <v>43</v>
      </c>
      <c r="D48" s="9">
        <v>3</v>
      </c>
      <c r="E48" s="9">
        <v>10200</v>
      </c>
      <c r="F48" s="9">
        <v>1226</v>
      </c>
      <c r="G48" s="12">
        <f t="shared" si="3"/>
        <v>0.12019607843137255</v>
      </c>
      <c r="H48" s="9">
        <v>185</v>
      </c>
      <c r="I48" s="13">
        <v>1249170</v>
      </c>
      <c r="J48" s="13">
        <v>4106816</v>
      </c>
      <c r="K48" s="13">
        <f t="shared" si="4"/>
        <v>122.46764705882353</v>
      </c>
      <c r="L48" s="13">
        <f t="shared" si="5"/>
        <v>402.62901960784313</v>
      </c>
    </row>
    <row r="49" spans="1:12" x14ac:dyDescent="0.25">
      <c r="A49" s="9">
        <v>48</v>
      </c>
      <c r="B49" s="10" t="s">
        <v>91</v>
      </c>
      <c r="C49" s="11" t="s">
        <v>54</v>
      </c>
      <c r="D49" s="9">
        <v>3</v>
      </c>
      <c r="E49" s="9">
        <v>10200</v>
      </c>
      <c r="F49" s="9">
        <v>956</v>
      </c>
      <c r="G49" s="12">
        <f t="shared" si="3"/>
        <v>9.3725490196078426E-2</v>
      </c>
      <c r="H49" s="9">
        <v>300</v>
      </c>
      <c r="I49" s="13">
        <v>1259730</v>
      </c>
      <c r="J49" s="13">
        <v>2292735</v>
      </c>
      <c r="K49" s="13">
        <f t="shared" si="4"/>
        <v>123.50294117647059</v>
      </c>
      <c r="L49" s="13">
        <f t="shared" si="5"/>
        <v>224.77794117647059</v>
      </c>
    </row>
    <row r="50" spans="1:12" x14ac:dyDescent="0.25">
      <c r="A50" s="9">
        <v>49</v>
      </c>
      <c r="B50" s="10" t="s">
        <v>92</v>
      </c>
      <c r="C50" s="11" t="s">
        <v>47</v>
      </c>
      <c r="D50" s="9">
        <v>2</v>
      </c>
      <c r="E50" s="9">
        <v>10200</v>
      </c>
      <c r="F50" s="9">
        <v>625</v>
      </c>
      <c r="G50" s="12">
        <f t="shared" si="3"/>
        <v>6.1274509803921566E-2</v>
      </c>
      <c r="H50" s="9">
        <v>74</v>
      </c>
      <c r="I50" s="13">
        <v>894360</v>
      </c>
      <c r="J50" s="13">
        <v>2157337</v>
      </c>
      <c r="K50" s="13">
        <f t="shared" si="4"/>
        <v>87.682352941176475</v>
      </c>
      <c r="L50" s="13">
        <f t="shared" si="5"/>
        <v>211.50362745098039</v>
      </c>
    </row>
    <row r="51" spans="1:12" x14ac:dyDescent="0.25">
      <c r="A51" s="9">
        <v>50</v>
      </c>
      <c r="B51" s="10" t="s">
        <v>93</v>
      </c>
      <c r="C51" s="11" t="s">
        <v>43</v>
      </c>
      <c r="D51" s="9">
        <v>2</v>
      </c>
      <c r="E51" s="9">
        <v>10200</v>
      </c>
      <c r="F51" s="9">
        <v>372</v>
      </c>
      <c r="G51" s="12">
        <f t="shared" si="3"/>
        <v>3.6470588235294116E-2</v>
      </c>
      <c r="H51" s="9">
        <v>0</v>
      </c>
      <c r="I51" s="13">
        <v>337176</v>
      </c>
      <c r="J51" s="13">
        <v>3051237</v>
      </c>
      <c r="K51" s="13">
        <f t="shared" si="4"/>
        <v>33.056470588235292</v>
      </c>
      <c r="L51" s="13">
        <f t="shared" si="5"/>
        <v>299.14088235294116</v>
      </c>
    </row>
    <row r="52" spans="1:12" x14ac:dyDescent="0.25">
      <c r="A52" s="9">
        <v>51</v>
      </c>
      <c r="B52" s="10" t="s">
        <v>94</v>
      </c>
      <c r="C52" s="11" t="s">
        <v>41</v>
      </c>
      <c r="D52" s="9">
        <v>2</v>
      </c>
      <c r="E52" s="9">
        <v>10200</v>
      </c>
      <c r="F52" s="9">
        <v>353</v>
      </c>
      <c r="G52" s="12">
        <f t="shared" si="3"/>
        <v>3.4607843137254901E-2</v>
      </c>
      <c r="H52" s="9">
        <v>0</v>
      </c>
      <c r="I52" s="13">
        <v>262496</v>
      </c>
      <c r="J52" s="13">
        <v>2614139</v>
      </c>
      <c r="K52" s="13">
        <f t="shared" si="4"/>
        <v>25.734901960784313</v>
      </c>
      <c r="L52" s="13">
        <f t="shared" si="5"/>
        <v>256.28813725490198</v>
      </c>
    </row>
    <row r="53" spans="1:12" x14ac:dyDescent="0.25">
      <c r="A53" s="9">
        <v>52</v>
      </c>
      <c r="B53" s="10" t="s">
        <v>95</v>
      </c>
      <c r="C53" s="11" t="s">
        <v>54</v>
      </c>
      <c r="D53" s="9">
        <v>2</v>
      </c>
      <c r="E53" s="9">
        <v>10200</v>
      </c>
      <c r="F53" s="9">
        <v>200</v>
      </c>
      <c r="G53" s="12">
        <f t="shared" si="3"/>
        <v>1.9607843137254902E-2</v>
      </c>
      <c r="H53" s="9">
        <v>0</v>
      </c>
      <c r="I53" s="13">
        <v>602320</v>
      </c>
      <c r="J53" s="13">
        <v>2223619</v>
      </c>
      <c r="K53" s="13">
        <f t="shared" si="4"/>
        <v>59.050980392156866</v>
      </c>
      <c r="L53" s="13">
        <f t="shared" si="5"/>
        <v>218.00186274509804</v>
      </c>
    </row>
  </sheetData>
  <conditionalFormatting sqref="G2:G53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2:L5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5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53" width="4.28515625" customWidth="1"/>
  </cols>
  <sheetData>
    <row r="1" spans="1:53" ht="45.95" customHeight="1" x14ac:dyDescent="0.25">
      <c r="A1" s="14" t="s">
        <v>96</v>
      </c>
      <c r="B1" s="15" t="s">
        <v>93</v>
      </c>
      <c r="C1" s="15" t="s">
        <v>90</v>
      </c>
      <c r="D1" s="15" t="s">
        <v>87</v>
      </c>
      <c r="E1" s="15" t="s">
        <v>78</v>
      </c>
      <c r="F1" s="15" t="s">
        <v>82</v>
      </c>
      <c r="G1" s="15" t="s">
        <v>72</v>
      </c>
      <c r="H1" s="15" t="s">
        <v>70</v>
      </c>
      <c r="I1" s="15" t="s">
        <v>62</v>
      </c>
      <c r="J1" s="15" t="s">
        <v>58</v>
      </c>
      <c r="K1" s="15" t="s">
        <v>55</v>
      </c>
      <c r="L1" s="15" t="s">
        <v>49</v>
      </c>
      <c r="M1" s="15" t="s">
        <v>45</v>
      </c>
      <c r="N1" s="15" t="s">
        <v>42</v>
      </c>
      <c r="O1" s="15" t="s">
        <v>94</v>
      </c>
      <c r="P1" s="15" t="s">
        <v>89</v>
      </c>
      <c r="Q1" s="15" t="s">
        <v>85</v>
      </c>
      <c r="R1" s="15" t="s">
        <v>79</v>
      </c>
      <c r="S1" s="15" t="s">
        <v>83</v>
      </c>
      <c r="T1" s="15" t="s">
        <v>71</v>
      </c>
      <c r="U1" s="15" t="s">
        <v>66</v>
      </c>
      <c r="V1" s="15" t="s">
        <v>61</v>
      </c>
      <c r="W1" s="15" t="s">
        <v>56</v>
      </c>
      <c r="X1" s="15" t="s">
        <v>51</v>
      </c>
      <c r="Y1" s="15" t="s">
        <v>48</v>
      </c>
      <c r="Z1" s="15" t="s">
        <v>44</v>
      </c>
      <c r="AA1" s="15" t="s">
        <v>40</v>
      </c>
      <c r="AB1" s="15" t="s">
        <v>95</v>
      </c>
      <c r="AC1" s="15" t="s">
        <v>91</v>
      </c>
      <c r="AD1" s="15" t="s">
        <v>86</v>
      </c>
      <c r="AE1" s="15" t="s">
        <v>80</v>
      </c>
      <c r="AF1" s="15" t="s">
        <v>84</v>
      </c>
      <c r="AG1" s="15" t="s">
        <v>75</v>
      </c>
      <c r="AH1" s="15" t="s">
        <v>73</v>
      </c>
      <c r="AI1" s="15" t="s">
        <v>68</v>
      </c>
      <c r="AJ1" s="15" t="s">
        <v>65</v>
      </c>
      <c r="AK1" s="15" t="s">
        <v>60</v>
      </c>
      <c r="AL1" s="15" t="s">
        <v>57</v>
      </c>
      <c r="AM1" s="15" t="s">
        <v>53</v>
      </c>
      <c r="AN1" s="15" t="s">
        <v>81</v>
      </c>
      <c r="AO1" s="15" t="s">
        <v>92</v>
      </c>
      <c r="AP1" s="15" t="s">
        <v>88</v>
      </c>
      <c r="AQ1" s="15" t="s">
        <v>76</v>
      </c>
      <c r="AR1" s="15" t="s">
        <v>74</v>
      </c>
      <c r="AS1" s="15" t="s">
        <v>77</v>
      </c>
      <c r="AT1" s="15" t="s">
        <v>69</v>
      </c>
      <c r="AU1" s="15" t="s">
        <v>67</v>
      </c>
      <c r="AV1" s="15" t="s">
        <v>64</v>
      </c>
      <c r="AW1" s="15" t="s">
        <v>59</v>
      </c>
      <c r="AX1" s="15" t="s">
        <v>63</v>
      </c>
      <c r="AY1" s="15" t="s">
        <v>52</v>
      </c>
      <c r="AZ1" s="15" t="s">
        <v>50</v>
      </c>
      <c r="BA1" s="15" t="s">
        <v>46</v>
      </c>
    </row>
    <row r="2" spans="1:53" x14ac:dyDescent="0.25">
      <c r="A2" s="6" t="s">
        <v>93</v>
      </c>
      <c r="B2" s="16"/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1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0.86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</row>
    <row r="3" spans="1:53" x14ac:dyDescent="0.25">
      <c r="A3" s="6" t="s">
        <v>90</v>
      </c>
      <c r="B3" s="17">
        <v>1</v>
      </c>
      <c r="C3" s="16"/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1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1</v>
      </c>
      <c r="AC3" s="17">
        <v>1</v>
      </c>
      <c r="AD3" s="17">
        <v>0</v>
      </c>
      <c r="AE3" s="17">
        <v>0</v>
      </c>
      <c r="AF3" s="17">
        <v>0</v>
      </c>
      <c r="AG3" s="17">
        <v>0</v>
      </c>
      <c r="AH3" s="17">
        <v>0</v>
      </c>
      <c r="AI3" s="17">
        <v>0</v>
      </c>
      <c r="AJ3" s="17">
        <v>0</v>
      </c>
      <c r="AK3" s="17">
        <v>0</v>
      </c>
      <c r="AL3" s="17">
        <v>0</v>
      </c>
      <c r="AM3" s="17">
        <v>0</v>
      </c>
      <c r="AN3" s="17">
        <v>0</v>
      </c>
      <c r="AO3" s="17">
        <v>1</v>
      </c>
      <c r="AP3" s="17">
        <v>0.86</v>
      </c>
      <c r="AQ3" s="17">
        <v>0.27</v>
      </c>
      <c r="AR3" s="17">
        <v>0</v>
      </c>
      <c r="AS3" s="17">
        <v>0</v>
      </c>
      <c r="AT3" s="17">
        <v>0</v>
      </c>
      <c r="AU3" s="17">
        <v>0</v>
      </c>
      <c r="AV3" s="17">
        <v>0</v>
      </c>
      <c r="AW3" s="17">
        <v>0</v>
      </c>
      <c r="AX3" s="17">
        <v>0</v>
      </c>
      <c r="AY3" s="17">
        <v>0</v>
      </c>
      <c r="AZ3" s="17">
        <v>0</v>
      </c>
      <c r="BA3" s="17">
        <v>0</v>
      </c>
    </row>
    <row r="4" spans="1:53" x14ac:dyDescent="0.25">
      <c r="A4" s="6" t="s">
        <v>87</v>
      </c>
      <c r="B4" s="17">
        <v>1</v>
      </c>
      <c r="C4" s="17">
        <v>1</v>
      </c>
      <c r="D4" s="16"/>
      <c r="E4" s="17">
        <v>0.09</v>
      </c>
      <c r="F4" s="17">
        <v>0.5</v>
      </c>
      <c r="G4" s="17">
        <v>0.01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1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1</v>
      </c>
      <c r="AC4" s="17">
        <v>1</v>
      </c>
      <c r="AD4" s="17">
        <v>0</v>
      </c>
      <c r="AE4" s="17">
        <v>0.2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0.5</v>
      </c>
      <c r="AO4" s="17">
        <v>1</v>
      </c>
      <c r="AP4" s="17">
        <v>1</v>
      </c>
      <c r="AQ4" s="17">
        <v>0.26</v>
      </c>
      <c r="AR4" s="17">
        <v>0.06</v>
      </c>
      <c r="AS4" s="17">
        <v>0.09</v>
      </c>
      <c r="AT4" s="17">
        <v>0.02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</row>
    <row r="5" spans="1:53" x14ac:dyDescent="0.25">
      <c r="A5" s="6" t="s">
        <v>78</v>
      </c>
      <c r="B5" s="17">
        <v>1</v>
      </c>
      <c r="C5" s="17">
        <v>1</v>
      </c>
      <c r="D5" s="17">
        <v>0.92</v>
      </c>
      <c r="E5" s="16"/>
      <c r="F5" s="17">
        <v>0.52</v>
      </c>
      <c r="G5" s="17">
        <v>0.16</v>
      </c>
      <c r="H5" s="17">
        <v>0.06</v>
      </c>
      <c r="I5" s="17">
        <v>0.02</v>
      </c>
      <c r="J5" s="17">
        <v>0.02</v>
      </c>
      <c r="K5" s="17">
        <v>0.01</v>
      </c>
      <c r="L5" s="17">
        <v>0</v>
      </c>
      <c r="M5" s="17">
        <v>0</v>
      </c>
      <c r="N5" s="17">
        <v>0</v>
      </c>
      <c r="O5" s="17">
        <v>1</v>
      </c>
      <c r="P5" s="17">
        <v>1</v>
      </c>
      <c r="Q5" s="17">
        <v>0.46</v>
      </c>
      <c r="R5" s="17">
        <v>0.25</v>
      </c>
      <c r="S5" s="17">
        <v>0.3</v>
      </c>
      <c r="T5" s="17">
        <v>0.11</v>
      </c>
      <c r="U5" s="17">
        <v>0.02</v>
      </c>
      <c r="V5" s="17">
        <v>0.03</v>
      </c>
      <c r="W5" s="17">
        <v>0.02</v>
      </c>
      <c r="X5" s="17">
        <v>0</v>
      </c>
      <c r="Y5" s="17">
        <v>0</v>
      </c>
      <c r="Z5" s="17">
        <v>0.01</v>
      </c>
      <c r="AA5" s="17">
        <v>0</v>
      </c>
      <c r="AB5" s="17">
        <v>1</v>
      </c>
      <c r="AC5" s="17">
        <v>1</v>
      </c>
      <c r="AD5" s="17">
        <v>0.9</v>
      </c>
      <c r="AE5" s="17">
        <v>0.75</v>
      </c>
      <c r="AF5" s="17">
        <v>0.9</v>
      </c>
      <c r="AG5" s="17">
        <v>0.28000000000000003</v>
      </c>
      <c r="AH5" s="17">
        <v>0.52</v>
      </c>
      <c r="AI5" s="17">
        <v>0.18</v>
      </c>
      <c r="AJ5" s="17">
        <v>0.15</v>
      </c>
      <c r="AK5" s="17">
        <v>0.08</v>
      </c>
      <c r="AL5" s="17">
        <v>0.11</v>
      </c>
      <c r="AM5" s="17">
        <v>0.02</v>
      </c>
      <c r="AN5" s="17">
        <v>0.45</v>
      </c>
      <c r="AO5" s="17">
        <v>1</v>
      </c>
      <c r="AP5" s="17">
        <v>1</v>
      </c>
      <c r="AQ5" s="17">
        <v>0.89</v>
      </c>
      <c r="AR5" s="17">
        <v>0.8</v>
      </c>
      <c r="AS5" s="17">
        <v>0.56000000000000005</v>
      </c>
      <c r="AT5" s="17">
        <v>0.42</v>
      </c>
      <c r="AU5" s="17">
        <v>0.56000000000000005</v>
      </c>
      <c r="AV5" s="17">
        <v>0.28000000000000003</v>
      </c>
      <c r="AW5" s="17">
        <v>0.27</v>
      </c>
      <c r="AX5" s="17">
        <v>0.09</v>
      </c>
      <c r="AY5" s="17">
        <v>0.11</v>
      </c>
      <c r="AZ5" s="17">
        <v>0.12</v>
      </c>
      <c r="BA5" s="17">
        <v>0.14000000000000001</v>
      </c>
    </row>
    <row r="6" spans="1:53" x14ac:dyDescent="0.25">
      <c r="A6" s="6" t="s">
        <v>82</v>
      </c>
      <c r="B6" s="17">
        <v>1</v>
      </c>
      <c r="C6" s="17">
        <v>1</v>
      </c>
      <c r="D6" s="17">
        <v>0.5</v>
      </c>
      <c r="E6" s="17">
        <v>0.49</v>
      </c>
      <c r="F6" s="16"/>
      <c r="G6" s="17">
        <v>0.01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1</v>
      </c>
      <c r="P6" s="17">
        <v>1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1</v>
      </c>
      <c r="AC6" s="17">
        <v>1</v>
      </c>
      <c r="AD6" s="17">
        <v>1</v>
      </c>
      <c r="AE6" s="17">
        <v>0.59</v>
      </c>
      <c r="AF6" s="17">
        <v>1</v>
      </c>
      <c r="AG6" s="17">
        <v>0.52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1</v>
      </c>
      <c r="AO6" s="17">
        <v>1</v>
      </c>
      <c r="AP6" s="17">
        <v>1</v>
      </c>
      <c r="AQ6" s="17">
        <v>0.66</v>
      </c>
      <c r="AR6" s="17">
        <v>0.65</v>
      </c>
      <c r="AS6" s="17">
        <v>0.85</v>
      </c>
      <c r="AT6" s="17">
        <v>0.17</v>
      </c>
      <c r="AU6" s="17">
        <v>0.1</v>
      </c>
      <c r="AV6" s="17">
        <v>0.1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</row>
    <row r="7" spans="1:53" x14ac:dyDescent="0.25">
      <c r="A7" s="6" t="s">
        <v>72</v>
      </c>
      <c r="B7" s="17">
        <v>1</v>
      </c>
      <c r="C7" s="17">
        <v>1</v>
      </c>
      <c r="D7" s="17">
        <v>1</v>
      </c>
      <c r="E7" s="17">
        <v>0.85</v>
      </c>
      <c r="F7" s="17">
        <v>0.99</v>
      </c>
      <c r="G7" s="16"/>
      <c r="H7" s="17">
        <v>0.31</v>
      </c>
      <c r="I7" s="17">
        <v>0.01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1</v>
      </c>
      <c r="P7" s="17">
        <v>1</v>
      </c>
      <c r="Q7" s="17">
        <v>0.73</v>
      </c>
      <c r="R7" s="17">
        <v>0.65</v>
      </c>
      <c r="S7" s="17">
        <v>0.72</v>
      </c>
      <c r="T7" s="17">
        <v>0.16</v>
      </c>
      <c r="U7" s="17">
        <v>0.02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1</v>
      </c>
      <c r="AC7" s="17">
        <v>1</v>
      </c>
      <c r="AD7" s="17">
        <v>1</v>
      </c>
      <c r="AE7" s="17">
        <v>0.88</v>
      </c>
      <c r="AF7" s="17">
        <v>1</v>
      </c>
      <c r="AG7" s="17">
        <v>0.79</v>
      </c>
      <c r="AH7" s="17">
        <v>0.83</v>
      </c>
      <c r="AI7" s="17">
        <v>0.45</v>
      </c>
      <c r="AJ7" s="17">
        <v>0.37</v>
      </c>
      <c r="AK7" s="17">
        <v>0.25</v>
      </c>
      <c r="AL7" s="17">
        <v>0</v>
      </c>
      <c r="AM7" s="17">
        <v>0</v>
      </c>
      <c r="AN7" s="17">
        <v>1</v>
      </c>
      <c r="AO7" s="17">
        <v>1</v>
      </c>
      <c r="AP7" s="17">
        <v>1</v>
      </c>
      <c r="AQ7" s="17">
        <v>0.64</v>
      </c>
      <c r="AR7" s="17">
        <v>0.82</v>
      </c>
      <c r="AS7" s="17">
        <v>0.77</v>
      </c>
      <c r="AT7" s="17">
        <v>0.5</v>
      </c>
      <c r="AU7" s="17">
        <v>0.41</v>
      </c>
      <c r="AV7" s="17">
        <v>0.38</v>
      </c>
      <c r="AW7" s="17">
        <v>0.3</v>
      </c>
      <c r="AX7" s="17">
        <v>0.26</v>
      </c>
      <c r="AY7" s="17">
        <v>0.03</v>
      </c>
      <c r="AZ7" s="17">
        <v>0.03</v>
      </c>
      <c r="BA7" s="17">
        <v>0</v>
      </c>
    </row>
    <row r="8" spans="1:53" x14ac:dyDescent="0.25">
      <c r="A8" s="6" t="s">
        <v>70</v>
      </c>
      <c r="B8" s="17">
        <v>1</v>
      </c>
      <c r="C8" s="17">
        <v>1</v>
      </c>
      <c r="D8" s="17">
        <v>1</v>
      </c>
      <c r="E8" s="17">
        <v>0.95</v>
      </c>
      <c r="F8" s="17">
        <v>1</v>
      </c>
      <c r="G8" s="17">
        <v>0.7</v>
      </c>
      <c r="H8" s="16"/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1</v>
      </c>
      <c r="P8" s="17">
        <v>1</v>
      </c>
      <c r="Q8" s="17">
        <v>0</v>
      </c>
      <c r="R8" s="17">
        <v>0.84</v>
      </c>
      <c r="S8" s="17">
        <v>1</v>
      </c>
      <c r="T8" s="17">
        <v>0.06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1</v>
      </c>
      <c r="AC8" s="17">
        <v>1</v>
      </c>
      <c r="AD8" s="17">
        <v>1</v>
      </c>
      <c r="AE8" s="17">
        <v>1</v>
      </c>
      <c r="AF8" s="17">
        <v>1</v>
      </c>
      <c r="AG8" s="17">
        <v>0.98</v>
      </c>
      <c r="AH8" s="17">
        <v>1</v>
      </c>
      <c r="AI8" s="17">
        <v>1</v>
      </c>
      <c r="AJ8" s="17">
        <v>1</v>
      </c>
      <c r="AK8" s="17">
        <v>0</v>
      </c>
      <c r="AL8" s="17">
        <v>0</v>
      </c>
      <c r="AM8" s="17">
        <v>0</v>
      </c>
      <c r="AN8" s="17">
        <v>1</v>
      </c>
      <c r="AO8" s="17">
        <v>1</v>
      </c>
      <c r="AP8" s="17">
        <v>1</v>
      </c>
      <c r="AQ8" s="17">
        <v>0.89</v>
      </c>
      <c r="AR8" s="17">
        <v>0.93</v>
      </c>
      <c r="AS8" s="17">
        <v>1</v>
      </c>
      <c r="AT8" s="17">
        <v>0.8</v>
      </c>
      <c r="AU8" s="17">
        <v>0.44</v>
      </c>
      <c r="AV8" s="17">
        <v>0.13</v>
      </c>
      <c r="AW8" s="17">
        <v>0.14000000000000001</v>
      </c>
      <c r="AX8" s="17">
        <v>0.13</v>
      </c>
      <c r="AY8" s="17">
        <v>0.12</v>
      </c>
      <c r="AZ8" s="17">
        <v>0.11</v>
      </c>
      <c r="BA8" s="17">
        <v>0</v>
      </c>
    </row>
    <row r="9" spans="1:53" x14ac:dyDescent="0.25">
      <c r="A9" s="6" t="s">
        <v>62</v>
      </c>
      <c r="B9" s="17">
        <v>1</v>
      </c>
      <c r="C9" s="17">
        <v>1</v>
      </c>
      <c r="D9" s="17">
        <v>1</v>
      </c>
      <c r="E9" s="17">
        <v>0.98</v>
      </c>
      <c r="F9" s="17">
        <v>1</v>
      </c>
      <c r="G9" s="17">
        <v>0.99</v>
      </c>
      <c r="H9" s="17">
        <v>1</v>
      </c>
      <c r="I9" s="16"/>
      <c r="J9" s="17">
        <v>0.5</v>
      </c>
      <c r="K9" s="17">
        <v>0</v>
      </c>
      <c r="L9" s="17">
        <v>0</v>
      </c>
      <c r="M9" s="17">
        <v>0</v>
      </c>
      <c r="N9" s="17">
        <v>0</v>
      </c>
      <c r="O9" s="17">
        <v>1</v>
      </c>
      <c r="P9" s="17">
        <v>1</v>
      </c>
      <c r="Q9" s="17">
        <v>1</v>
      </c>
      <c r="R9" s="17">
        <v>0.92</v>
      </c>
      <c r="S9" s="17">
        <v>1</v>
      </c>
      <c r="T9" s="17">
        <v>0.38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1</v>
      </c>
      <c r="AC9" s="17">
        <v>1</v>
      </c>
      <c r="AD9" s="17">
        <v>1</v>
      </c>
      <c r="AE9" s="17">
        <v>0.99</v>
      </c>
      <c r="AF9" s="17">
        <v>1</v>
      </c>
      <c r="AG9" s="17">
        <v>0.97</v>
      </c>
      <c r="AH9" s="17">
        <v>1</v>
      </c>
      <c r="AI9" s="17">
        <v>1</v>
      </c>
      <c r="AJ9" s="17">
        <v>1</v>
      </c>
      <c r="AK9" s="17">
        <v>1</v>
      </c>
      <c r="AL9" s="17">
        <v>0.5</v>
      </c>
      <c r="AM9" s="17">
        <v>0</v>
      </c>
      <c r="AN9" s="17">
        <v>1</v>
      </c>
      <c r="AO9" s="17">
        <v>1</v>
      </c>
      <c r="AP9" s="17">
        <v>1</v>
      </c>
      <c r="AQ9" s="17">
        <v>0.89</v>
      </c>
      <c r="AR9" s="17">
        <v>0.9</v>
      </c>
      <c r="AS9" s="17">
        <v>1</v>
      </c>
      <c r="AT9" s="17">
        <v>0.79</v>
      </c>
      <c r="AU9" s="17">
        <v>0.88</v>
      </c>
      <c r="AV9" s="17">
        <v>0.86</v>
      </c>
      <c r="AW9" s="17">
        <v>0.1</v>
      </c>
      <c r="AX9" s="17">
        <v>0.11</v>
      </c>
      <c r="AY9" s="17">
        <v>0.11</v>
      </c>
      <c r="AZ9" s="17">
        <v>0.14000000000000001</v>
      </c>
      <c r="BA9" s="17">
        <v>0.16</v>
      </c>
    </row>
    <row r="10" spans="1:53" x14ac:dyDescent="0.25">
      <c r="A10" s="6" t="s">
        <v>58</v>
      </c>
      <c r="B10" s="17">
        <v>1</v>
      </c>
      <c r="C10" s="17">
        <v>1</v>
      </c>
      <c r="D10" s="17">
        <v>1</v>
      </c>
      <c r="E10" s="17">
        <v>0.99</v>
      </c>
      <c r="F10" s="17">
        <v>1</v>
      </c>
      <c r="G10" s="17">
        <v>1</v>
      </c>
      <c r="H10" s="17">
        <v>1</v>
      </c>
      <c r="I10" s="17">
        <v>0.5</v>
      </c>
      <c r="J10" s="16"/>
      <c r="K10" s="17">
        <v>0</v>
      </c>
      <c r="L10" s="17">
        <v>0</v>
      </c>
      <c r="M10" s="17">
        <v>0</v>
      </c>
      <c r="N10" s="17">
        <v>0</v>
      </c>
      <c r="O10" s="17">
        <v>1</v>
      </c>
      <c r="P10" s="17">
        <v>1</v>
      </c>
      <c r="Q10" s="17">
        <v>1</v>
      </c>
      <c r="R10" s="17">
        <v>0.98</v>
      </c>
      <c r="S10" s="17">
        <v>1</v>
      </c>
      <c r="T10" s="17">
        <v>0.34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1</v>
      </c>
      <c r="AC10" s="17">
        <v>1</v>
      </c>
      <c r="AD10" s="17">
        <v>1</v>
      </c>
      <c r="AE10" s="17">
        <v>1</v>
      </c>
      <c r="AF10" s="17">
        <v>1</v>
      </c>
      <c r="AG10" s="17">
        <v>1</v>
      </c>
      <c r="AH10" s="17">
        <v>1</v>
      </c>
      <c r="AI10" s="17">
        <v>1</v>
      </c>
      <c r="AJ10" s="17">
        <v>1</v>
      </c>
      <c r="AK10" s="17">
        <v>1</v>
      </c>
      <c r="AL10" s="17">
        <v>1</v>
      </c>
      <c r="AM10" s="17">
        <v>0.5</v>
      </c>
      <c r="AN10" s="17">
        <v>1</v>
      </c>
      <c r="AO10" s="17">
        <v>1</v>
      </c>
      <c r="AP10" s="17">
        <v>1</v>
      </c>
      <c r="AQ10" s="17">
        <v>1</v>
      </c>
      <c r="AR10" s="17">
        <v>0.96</v>
      </c>
      <c r="AS10" s="17">
        <v>1</v>
      </c>
      <c r="AT10" s="17">
        <v>0.89</v>
      </c>
      <c r="AU10" s="17">
        <v>1</v>
      </c>
      <c r="AV10" s="17">
        <v>0.87</v>
      </c>
      <c r="AW10" s="17">
        <v>0.91</v>
      </c>
      <c r="AX10" s="17">
        <v>0.46</v>
      </c>
      <c r="AY10" s="17">
        <v>0.13</v>
      </c>
      <c r="AZ10" s="17">
        <v>0.13</v>
      </c>
      <c r="BA10" s="17">
        <v>0.1</v>
      </c>
    </row>
    <row r="11" spans="1:53" x14ac:dyDescent="0.25">
      <c r="A11" s="6" t="s">
        <v>55</v>
      </c>
      <c r="B11" s="17">
        <v>1</v>
      </c>
      <c r="C11" s="17">
        <v>1</v>
      </c>
      <c r="D11" s="17">
        <v>1</v>
      </c>
      <c r="E11" s="17">
        <v>0.99</v>
      </c>
      <c r="F11" s="17">
        <v>1</v>
      </c>
      <c r="G11" s="17">
        <v>1</v>
      </c>
      <c r="H11" s="17">
        <v>1</v>
      </c>
      <c r="I11" s="17">
        <v>1</v>
      </c>
      <c r="J11" s="17">
        <v>1</v>
      </c>
      <c r="K11" s="16"/>
      <c r="L11" s="17">
        <v>0</v>
      </c>
      <c r="M11" s="17">
        <v>0</v>
      </c>
      <c r="N11" s="17">
        <v>0</v>
      </c>
      <c r="O11" s="17">
        <v>1</v>
      </c>
      <c r="P11" s="17">
        <v>1</v>
      </c>
      <c r="Q11" s="17">
        <v>1</v>
      </c>
      <c r="R11" s="17">
        <v>0.68</v>
      </c>
      <c r="S11" s="17">
        <v>1</v>
      </c>
      <c r="T11" s="17">
        <v>0.02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1</v>
      </c>
      <c r="AC11" s="17">
        <v>1</v>
      </c>
      <c r="AD11" s="17">
        <v>1</v>
      </c>
      <c r="AE11" s="17">
        <v>1</v>
      </c>
      <c r="AF11" s="17">
        <v>1</v>
      </c>
      <c r="AG11" s="17">
        <v>1</v>
      </c>
      <c r="AH11" s="17">
        <v>1</v>
      </c>
      <c r="AI11" s="17">
        <v>1</v>
      </c>
      <c r="AJ11" s="17">
        <v>1</v>
      </c>
      <c r="AK11" s="17">
        <v>1</v>
      </c>
      <c r="AL11" s="17">
        <v>1</v>
      </c>
      <c r="AM11" s="17">
        <v>1</v>
      </c>
      <c r="AN11" s="17">
        <v>1</v>
      </c>
      <c r="AO11" s="17">
        <v>1</v>
      </c>
      <c r="AP11" s="17">
        <v>1</v>
      </c>
      <c r="AQ11" s="17">
        <v>1</v>
      </c>
      <c r="AR11" s="17">
        <v>0.98</v>
      </c>
      <c r="AS11" s="17">
        <v>1</v>
      </c>
      <c r="AT11" s="17">
        <v>0.89</v>
      </c>
      <c r="AU11" s="17">
        <v>1</v>
      </c>
      <c r="AV11" s="17">
        <v>0.89</v>
      </c>
      <c r="AW11" s="17">
        <v>0.9</v>
      </c>
      <c r="AX11" s="17">
        <v>0.89</v>
      </c>
      <c r="AY11" s="17">
        <v>0.46</v>
      </c>
      <c r="AZ11" s="17">
        <v>0.09</v>
      </c>
      <c r="BA11" s="17">
        <v>0.12</v>
      </c>
    </row>
    <row r="12" spans="1:53" x14ac:dyDescent="0.25">
      <c r="A12" s="6" t="s">
        <v>49</v>
      </c>
      <c r="B12" s="17">
        <v>1</v>
      </c>
      <c r="C12" s="17">
        <v>1</v>
      </c>
      <c r="D12" s="17">
        <v>1</v>
      </c>
      <c r="E12" s="17">
        <v>1</v>
      </c>
      <c r="F12" s="17">
        <v>1</v>
      </c>
      <c r="G12" s="17">
        <v>1</v>
      </c>
      <c r="H12" s="17">
        <v>1</v>
      </c>
      <c r="I12" s="17">
        <v>1</v>
      </c>
      <c r="J12" s="17">
        <v>1</v>
      </c>
      <c r="K12" s="17">
        <v>1</v>
      </c>
      <c r="L12" s="16"/>
      <c r="M12" s="17">
        <v>0</v>
      </c>
      <c r="N12" s="17">
        <v>0</v>
      </c>
      <c r="O12" s="17">
        <v>1</v>
      </c>
      <c r="P12" s="17">
        <v>1</v>
      </c>
      <c r="Q12" s="17">
        <v>1</v>
      </c>
      <c r="R12" s="17">
        <v>1</v>
      </c>
      <c r="S12" s="17">
        <v>1</v>
      </c>
      <c r="T12" s="17">
        <v>0.97</v>
      </c>
      <c r="U12" s="17">
        <v>1</v>
      </c>
      <c r="V12" s="17">
        <v>1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1</v>
      </c>
      <c r="AC12" s="17">
        <v>1</v>
      </c>
      <c r="AD12" s="17">
        <v>1</v>
      </c>
      <c r="AE12" s="17">
        <v>1</v>
      </c>
      <c r="AF12" s="17">
        <v>1</v>
      </c>
      <c r="AG12" s="17">
        <v>1</v>
      </c>
      <c r="AH12" s="17">
        <v>1</v>
      </c>
      <c r="AI12" s="17">
        <v>1</v>
      </c>
      <c r="AJ12" s="17">
        <v>1</v>
      </c>
      <c r="AK12" s="17">
        <v>1</v>
      </c>
      <c r="AL12" s="17">
        <v>1</v>
      </c>
      <c r="AM12" s="17">
        <v>1</v>
      </c>
      <c r="AN12" s="17">
        <v>1</v>
      </c>
      <c r="AO12" s="17">
        <v>1</v>
      </c>
      <c r="AP12" s="17">
        <v>1</v>
      </c>
      <c r="AQ12" s="17">
        <v>1</v>
      </c>
      <c r="AR12" s="17">
        <v>0.99</v>
      </c>
      <c r="AS12" s="17">
        <v>1</v>
      </c>
      <c r="AT12" s="17">
        <v>1</v>
      </c>
      <c r="AU12" s="17">
        <v>1</v>
      </c>
      <c r="AV12" s="17">
        <v>1</v>
      </c>
      <c r="AW12" s="17">
        <v>1</v>
      </c>
      <c r="AX12" s="17">
        <v>1</v>
      </c>
      <c r="AY12" s="17">
        <v>1</v>
      </c>
      <c r="AZ12" s="17">
        <v>0.73</v>
      </c>
      <c r="BA12" s="17">
        <v>0.28000000000000003</v>
      </c>
    </row>
    <row r="13" spans="1:53" x14ac:dyDescent="0.25">
      <c r="A13" s="6" t="s">
        <v>45</v>
      </c>
      <c r="B13" s="17">
        <v>1</v>
      </c>
      <c r="C13" s="17">
        <v>1</v>
      </c>
      <c r="D13" s="17">
        <v>1</v>
      </c>
      <c r="E13" s="17">
        <v>1</v>
      </c>
      <c r="F13" s="17">
        <v>1</v>
      </c>
      <c r="G13" s="17">
        <v>1</v>
      </c>
      <c r="H13" s="17">
        <v>1</v>
      </c>
      <c r="I13" s="17">
        <v>1</v>
      </c>
      <c r="J13" s="17">
        <v>1</v>
      </c>
      <c r="K13" s="17">
        <v>1</v>
      </c>
      <c r="L13" s="17">
        <v>1</v>
      </c>
      <c r="M13" s="16"/>
      <c r="N13" s="17">
        <v>0</v>
      </c>
      <c r="O13" s="17">
        <v>1</v>
      </c>
      <c r="P13" s="17">
        <v>1</v>
      </c>
      <c r="Q13" s="17">
        <v>1</v>
      </c>
      <c r="R13" s="17">
        <v>1</v>
      </c>
      <c r="S13" s="17">
        <v>1</v>
      </c>
      <c r="T13" s="17">
        <v>0.98</v>
      </c>
      <c r="U13" s="17">
        <v>1</v>
      </c>
      <c r="V13" s="17">
        <v>1</v>
      </c>
      <c r="W13" s="17">
        <v>0.5</v>
      </c>
      <c r="X13" s="17">
        <v>0</v>
      </c>
      <c r="Y13" s="17">
        <v>0</v>
      </c>
      <c r="Z13" s="17">
        <v>0</v>
      </c>
      <c r="AA13" s="17">
        <v>0</v>
      </c>
      <c r="AB13" s="17">
        <v>1</v>
      </c>
      <c r="AC13" s="17">
        <v>1</v>
      </c>
      <c r="AD13" s="17">
        <v>1</v>
      </c>
      <c r="AE13" s="17">
        <v>1</v>
      </c>
      <c r="AF13" s="17">
        <v>1</v>
      </c>
      <c r="AG13" s="17">
        <v>1</v>
      </c>
      <c r="AH13" s="17">
        <v>1</v>
      </c>
      <c r="AI13" s="17">
        <v>1</v>
      </c>
      <c r="AJ13" s="17">
        <v>1</v>
      </c>
      <c r="AK13" s="17">
        <v>1</v>
      </c>
      <c r="AL13" s="17">
        <v>1</v>
      </c>
      <c r="AM13" s="17">
        <v>1</v>
      </c>
      <c r="AN13" s="17">
        <v>1</v>
      </c>
      <c r="AO13" s="17">
        <v>1</v>
      </c>
      <c r="AP13" s="17">
        <v>1</v>
      </c>
      <c r="AQ13" s="17">
        <v>1</v>
      </c>
      <c r="AR13" s="17">
        <v>0.97</v>
      </c>
      <c r="AS13" s="17">
        <v>1</v>
      </c>
      <c r="AT13" s="17">
        <v>0.98</v>
      </c>
      <c r="AU13" s="17">
        <v>1</v>
      </c>
      <c r="AV13" s="17">
        <v>1</v>
      </c>
      <c r="AW13" s="17">
        <v>1</v>
      </c>
      <c r="AX13" s="17">
        <v>0.87</v>
      </c>
      <c r="AY13" s="17">
        <v>0.79</v>
      </c>
      <c r="AZ13" s="17">
        <v>0.88</v>
      </c>
      <c r="BA13" s="17">
        <v>0.48</v>
      </c>
    </row>
    <row r="14" spans="1:53" x14ac:dyDescent="0.25">
      <c r="A14" s="6" t="s">
        <v>42</v>
      </c>
      <c r="B14" s="17">
        <v>1</v>
      </c>
      <c r="C14" s="17">
        <v>1</v>
      </c>
      <c r="D14" s="17">
        <v>1</v>
      </c>
      <c r="E14" s="17">
        <v>1</v>
      </c>
      <c r="F14" s="17">
        <v>1</v>
      </c>
      <c r="G14" s="17">
        <v>1</v>
      </c>
      <c r="H14" s="17">
        <v>1</v>
      </c>
      <c r="I14" s="17">
        <v>1</v>
      </c>
      <c r="J14" s="17">
        <v>1</v>
      </c>
      <c r="K14" s="17">
        <v>1</v>
      </c>
      <c r="L14" s="17">
        <v>1</v>
      </c>
      <c r="M14" s="17">
        <v>1</v>
      </c>
      <c r="N14" s="16"/>
      <c r="O14" s="17">
        <v>1</v>
      </c>
      <c r="P14" s="17">
        <v>1</v>
      </c>
      <c r="Q14" s="17">
        <v>1</v>
      </c>
      <c r="R14" s="17">
        <v>1</v>
      </c>
      <c r="S14" s="17">
        <v>1</v>
      </c>
      <c r="T14" s="17">
        <v>1</v>
      </c>
      <c r="U14" s="17">
        <v>1</v>
      </c>
      <c r="V14" s="17">
        <v>1</v>
      </c>
      <c r="W14" s="17">
        <v>1</v>
      </c>
      <c r="X14" s="17">
        <v>0</v>
      </c>
      <c r="Y14" s="17">
        <v>0</v>
      </c>
      <c r="Z14" s="17">
        <v>0</v>
      </c>
      <c r="AA14" s="17">
        <v>0</v>
      </c>
      <c r="AB14" s="17">
        <v>1</v>
      </c>
      <c r="AC14" s="17">
        <v>1</v>
      </c>
      <c r="AD14" s="17">
        <v>1</v>
      </c>
      <c r="AE14" s="17">
        <v>1</v>
      </c>
      <c r="AF14" s="17">
        <v>1</v>
      </c>
      <c r="AG14" s="17">
        <v>1</v>
      </c>
      <c r="AH14" s="17">
        <v>1</v>
      </c>
      <c r="AI14" s="17">
        <v>1</v>
      </c>
      <c r="AJ14" s="17">
        <v>1</v>
      </c>
      <c r="AK14" s="17">
        <v>1</v>
      </c>
      <c r="AL14" s="17">
        <v>1</v>
      </c>
      <c r="AM14" s="17">
        <v>1</v>
      </c>
      <c r="AN14" s="17">
        <v>1</v>
      </c>
      <c r="AO14" s="17">
        <v>1</v>
      </c>
      <c r="AP14" s="17">
        <v>1</v>
      </c>
      <c r="AQ14" s="17">
        <v>1</v>
      </c>
      <c r="AR14" s="17">
        <v>0.99</v>
      </c>
      <c r="AS14" s="17">
        <v>1</v>
      </c>
      <c r="AT14" s="17">
        <v>0.99</v>
      </c>
      <c r="AU14" s="17">
        <v>1</v>
      </c>
      <c r="AV14" s="17">
        <v>1</v>
      </c>
      <c r="AW14" s="17">
        <v>1</v>
      </c>
      <c r="AX14" s="17">
        <v>1</v>
      </c>
      <c r="AY14" s="17">
        <v>0.84</v>
      </c>
      <c r="AZ14" s="17">
        <v>0.86</v>
      </c>
      <c r="BA14" s="17">
        <v>0.84</v>
      </c>
    </row>
    <row r="15" spans="1:53" x14ac:dyDescent="0.25">
      <c r="A15" s="6" t="s">
        <v>94</v>
      </c>
      <c r="B15" s="17">
        <v>1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6"/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0.5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0.27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</row>
    <row r="16" spans="1:53" x14ac:dyDescent="0.25">
      <c r="A16" s="6" t="s">
        <v>89</v>
      </c>
      <c r="B16" s="17">
        <v>1</v>
      </c>
      <c r="C16" s="17">
        <v>1</v>
      </c>
      <c r="D16" s="17">
        <v>1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1</v>
      </c>
      <c r="P16" s="16"/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1</v>
      </c>
      <c r="AC16" s="17">
        <v>0.5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0.63</v>
      </c>
      <c r="AP16" s="17">
        <v>0.28000000000000003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</row>
    <row r="17" spans="1:53" x14ac:dyDescent="0.25">
      <c r="A17" s="6" t="s">
        <v>85</v>
      </c>
      <c r="B17" s="17">
        <v>1</v>
      </c>
      <c r="C17" s="17">
        <v>1</v>
      </c>
      <c r="D17" s="17">
        <v>1</v>
      </c>
      <c r="E17" s="17">
        <v>0.55000000000000004</v>
      </c>
      <c r="F17" s="17">
        <v>1</v>
      </c>
      <c r="G17" s="17">
        <v>0.28000000000000003</v>
      </c>
      <c r="H17" s="17">
        <v>1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1</v>
      </c>
      <c r="P17" s="17">
        <v>1</v>
      </c>
      <c r="Q17" s="16"/>
      <c r="R17" s="17">
        <v>0.45</v>
      </c>
      <c r="S17" s="17">
        <v>1</v>
      </c>
      <c r="T17" s="17">
        <v>0.05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1</v>
      </c>
      <c r="AC17" s="17">
        <v>1</v>
      </c>
      <c r="AD17" s="17">
        <v>0</v>
      </c>
      <c r="AE17" s="17">
        <v>0.22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0.86</v>
      </c>
      <c r="AP17" s="17">
        <v>0.61</v>
      </c>
      <c r="AQ17" s="17">
        <v>0</v>
      </c>
      <c r="AR17" s="17">
        <v>0.04</v>
      </c>
      <c r="AS17" s="17">
        <v>0</v>
      </c>
      <c r="AT17" s="17">
        <v>0.01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</row>
    <row r="18" spans="1:53" x14ac:dyDescent="0.25">
      <c r="A18" s="6" t="s">
        <v>79</v>
      </c>
      <c r="B18" s="17">
        <v>1</v>
      </c>
      <c r="C18" s="17">
        <v>1</v>
      </c>
      <c r="D18" s="17">
        <v>1</v>
      </c>
      <c r="E18" s="17">
        <v>0.75</v>
      </c>
      <c r="F18" s="17">
        <v>1</v>
      </c>
      <c r="G18" s="17">
        <v>0.35</v>
      </c>
      <c r="H18" s="17">
        <v>0.17</v>
      </c>
      <c r="I18" s="17">
        <v>0.09</v>
      </c>
      <c r="J18" s="17">
        <v>0.02</v>
      </c>
      <c r="K18" s="17">
        <v>0.33</v>
      </c>
      <c r="L18" s="17">
        <v>0.01</v>
      </c>
      <c r="M18" s="17">
        <v>0</v>
      </c>
      <c r="N18" s="17">
        <v>0.01</v>
      </c>
      <c r="O18" s="17">
        <v>1</v>
      </c>
      <c r="P18" s="17">
        <v>1</v>
      </c>
      <c r="Q18" s="17">
        <v>0.55000000000000004</v>
      </c>
      <c r="R18" s="16"/>
      <c r="S18" s="17">
        <v>0.93</v>
      </c>
      <c r="T18" s="17">
        <v>0.14000000000000001</v>
      </c>
      <c r="U18" s="17">
        <v>0.05</v>
      </c>
      <c r="V18" s="17">
        <v>0.04</v>
      </c>
      <c r="W18" s="17">
        <v>0.03</v>
      </c>
      <c r="X18" s="17">
        <v>0.01</v>
      </c>
      <c r="Y18" s="17">
        <v>0.01</v>
      </c>
      <c r="Z18" s="17">
        <v>0</v>
      </c>
      <c r="AA18" s="17">
        <v>0</v>
      </c>
      <c r="AB18" s="17">
        <v>1</v>
      </c>
      <c r="AC18" s="17">
        <v>1</v>
      </c>
      <c r="AD18" s="17">
        <v>0.47</v>
      </c>
      <c r="AE18" s="17">
        <v>0.52</v>
      </c>
      <c r="AF18" s="17">
        <v>0.88</v>
      </c>
      <c r="AG18" s="17">
        <v>0.21</v>
      </c>
      <c r="AH18" s="17">
        <v>0.12</v>
      </c>
      <c r="AI18" s="17">
        <v>0.16</v>
      </c>
      <c r="AJ18" s="17">
        <v>0.09</v>
      </c>
      <c r="AK18" s="17">
        <v>0.08</v>
      </c>
      <c r="AL18" s="17">
        <v>0.05</v>
      </c>
      <c r="AM18" s="17">
        <v>0.02</v>
      </c>
      <c r="AN18" s="17">
        <v>0.5</v>
      </c>
      <c r="AO18" s="17">
        <v>1</v>
      </c>
      <c r="AP18" s="17">
        <v>0.98</v>
      </c>
      <c r="AQ18" s="17">
        <v>0.52</v>
      </c>
      <c r="AR18" s="17">
        <v>0.38</v>
      </c>
      <c r="AS18" s="17">
        <v>0.3</v>
      </c>
      <c r="AT18" s="17">
        <v>0.24</v>
      </c>
      <c r="AU18" s="17">
        <v>0.31</v>
      </c>
      <c r="AV18" s="17">
        <v>0.26</v>
      </c>
      <c r="AW18" s="17">
        <v>0.11</v>
      </c>
      <c r="AX18" s="17">
        <v>0.02</v>
      </c>
      <c r="AY18" s="17">
        <v>0.03</v>
      </c>
      <c r="AZ18" s="17">
        <v>0.02</v>
      </c>
      <c r="BA18" s="17">
        <v>0.03</v>
      </c>
    </row>
    <row r="19" spans="1:53" x14ac:dyDescent="0.25">
      <c r="A19" s="6" t="s">
        <v>83</v>
      </c>
      <c r="B19" s="17">
        <v>1</v>
      </c>
      <c r="C19" s="17">
        <v>1</v>
      </c>
      <c r="D19" s="17">
        <v>1</v>
      </c>
      <c r="E19" s="17">
        <v>0.71</v>
      </c>
      <c r="F19" s="17">
        <v>1</v>
      </c>
      <c r="G19" s="17">
        <v>0.28000000000000003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1</v>
      </c>
      <c r="P19" s="17">
        <v>1</v>
      </c>
      <c r="Q19" s="17">
        <v>0</v>
      </c>
      <c r="R19" s="17">
        <v>0.08</v>
      </c>
      <c r="S19" s="16"/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1</v>
      </c>
      <c r="AC19" s="17">
        <v>1</v>
      </c>
      <c r="AD19" s="17">
        <v>0.5</v>
      </c>
      <c r="AE19" s="17">
        <v>0.42</v>
      </c>
      <c r="AF19" s="17">
        <v>0.5</v>
      </c>
      <c r="AG19" s="17">
        <v>0.19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1</v>
      </c>
      <c r="AO19" s="17">
        <v>1</v>
      </c>
      <c r="AP19" s="17">
        <v>0.88</v>
      </c>
      <c r="AQ19" s="17">
        <v>0.27</v>
      </c>
      <c r="AR19" s="17">
        <v>0.47</v>
      </c>
      <c r="AS19" s="17">
        <v>0.23</v>
      </c>
      <c r="AT19" s="17">
        <v>0.06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</row>
    <row r="20" spans="1:53" x14ac:dyDescent="0.25">
      <c r="A20" s="6" t="s">
        <v>71</v>
      </c>
      <c r="B20" s="17">
        <v>1</v>
      </c>
      <c r="C20" s="17">
        <v>1</v>
      </c>
      <c r="D20" s="17">
        <v>1</v>
      </c>
      <c r="E20" s="17">
        <v>0.9</v>
      </c>
      <c r="F20" s="17">
        <v>1</v>
      </c>
      <c r="G20" s="17">
        <v>0.84</v>
      </c>
      <c r="H20" s="17">
        <v>0.95</v>
      </c>
      <c r="I20" s="17">
        <v>0.63</v>
      </c>
      <c r="J20" s="17">
        <v>0.67</v>
      </c>
      <c r="K20" s="17">
        <v>0.99</v>
      </c>
      <c r="L20" s="17">
        <v>0.04</v>
      </c>
      <c r="M20" s="17">
        <v>0.02</v>
      </c>
      <c r="N20" s="17">
        <v>0</v>
      </c>
      <c r="O20" s="17">
        <v>1</v>
      </c>
      <c r="P20" s="17">
        <v>1</v>
      </c>
      <c r="Q20" s="17">
        <v>0.96</v>
      </c>
      <c r="R20" s="17">
        <v>0.86</v>
      </c>
      <c r="S20" s="17">
        <v>1</v>
      </c>
      <c r="T20" s="16"/>
      <c r="U20" s="17">
        <v>0.39</v>
      </c>
      <c r="V20" s="17">
        <v>0.02</v>
      </c>
      <c r="W20" s="17">
        <v>0.02</v>
      </c>
      <c r="X20" s="17">
        <v>0</v>
      </c>
      <c r="Y20" s="17">
        <v>0</v>
      </c>
      <c r="Z20" s="17">
        <v>0</v>
      </c>
      <c r="AA20" s="17">
        <v>0</v>
      </c>
      <c r="AB20" s="17">
        <v>1</v>
      </c>
      <c r="AC20" s="17">
        <v>1</v>
      </c>
      <c r="AD20" s="17">
        <v>0.5</v>
      </c>
      <c r="AE20" s="17">
        <v>0.76</v>
      </c>
      <c r="AF20" s="17">
        <v>0.98</v>
      </c>
      <c r="AG20" s="17">
        <v>0.43</v>
      </c>
      <c r="AH20" s="17">
        <v>0.4</v>
      </c>
      <c r="AI20" s="17">
        <v>0.24</v>
      </c>
      <c r="AJ20" s="17">
        <v>0.21</v>
      </c>
      <c r="AK20" s="17">
        <v>0</v>
      </c>
      <c r="AL20" s="17">
        <v>0</v>
      </c>
      <c r="AM20" s="17">
        <v>0</v>
      </c>
      <c r="AN20" s="17">
        <v>0.99</v>
      </c>
      <c r="AO20" s="17">
        <v>1</v>
      </c>
      <c r="AP20" s="17">
        <v>1</v>
      </c>
      <c r="AQ20" s="17">
        <v>0.28000000000000003</v>
      </c>
      <c r="AR20" s="17">
        <v>0.46</v>
      </c>
      <c r="AS20" s="17">
        <v>0.51</v>
      </c>
      <c r="AT20" s="17">
        <v>0.32</v>
      </c>
      <c r="AU20" s="17">
        <v>0.19</v>
      </c>
      <c r="AV20" s="17">
        <v>0.14000000000000001</v>
      </c>
      <c r="AW20" s="17">
        <v>0.1</v>
      </c>
      <c r="AX20" s="17">
        <v>0.08</v>
      </c>
      <c r="AY20" s="17">
        <v>0.04</v>
      </c>
      <c r="AZ20" s="17">
        <v>0.02</v>
      </c>
      <c r="BA20" s="17">
        <v>0</v>
      </c>
    </row>
    <row r="21" spans="1:53" x14ac:dyDescent="0.25">
      <c r="A21" s="6" t="s">
        <v>66</v>
      </c>
      <c r="B21" s="17">
        <v>1</v>
      </c>
      <c r="C21" s="17">
        <v>1</v>
      </c>
      <c r="D21" s="17">
        <v>1</v>
      </c>
      <c r="E21" s="17">
        <v>0.98</v>
      </c>
      <c r="F21" s="17">
        <v>1</v>
      </c>
      <c r="G21" s="17">
        <v>0.99</v>
      </c>
      <c r="H21" s="17">
        <v>1</v>
      </c>
      <c r="I21" s="17">
        <v>1</v>
      </c>
      <c r="J21" s="17">
        <v>1</v>
      </c>
      <c r="K21" s="17">
        <v>1</v>
      </c>
      <c r="L21" s="17">
        <v>0</v>
      </c>
      <c r="M21" s="17">
        <v>0</v>
      </c>
      <c r="N21" s="17">
        <v>0</v>
      </c>
      <c r="O21" s="17">
        <v>1</v>
      </c>
      <c r="P21" s="17">
        <v>1</v>
      </c>
      <c r="Q21" s="17">
        <v>1</v>
      </c>
      <c r="R21" s="17">
        <v>0.95</v>
      </c>
      <c r="S21" s="17">
        <v>1</v>
      </c>
      <c r="T21" s="17">
        <v>0.61</v>
      </c>
      <c r="U21" s="16"/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1</v>
      </c>
      <c r="AC21" s="17">
        <v>1</v>
      </c>
      <c r="AD21" s="17">
        <v>1</v>
      </c>
      <c r="AE21" s="17">
        <v>0.89</v>
      </c>
      <c r="AF21" s="17">
        <v>1</v>
      </c>
      <c r="AG21" s="17">
        <v>0.67</v>
      </c>
      <c r="AH21" s="17">
        <v>1</v>
      </c>
      <c r="AI21" s="17">
        <v>0.5</v>
      </c>
      <c r="AJ21" s="17">
        <v>0.5</v>
      </c>
      <c r="AK21" s="17">
        <v>0</v>
      </c>
      <c r="AL21" s="17">
        <v>0</v>
      </c>
      <c r="AM21" s="17">
        <v>0</v>
      </c>
      <c r="AN21" s="17">
        <v>1</v>
      </c>
      <c r="AO21" s="17">
        <v>1</v>
      </c>
      <c r="AP21" s="17">
        <v>1</v>
      </c>
      <c r="AQ21" s="17">
        <v>0.66</v>
      </c>
      <c r="AR21" s="17">
        <v>0.64</v>
      </c>
      <c r="AS21" s="17">
        <v>0.64</v>
      </c>
      <c r="AT21" s="17">
        <v>0.43</v>
      </c>
      <c r="AU21" s="17">
        <v>0.1</v>
      </c>
      <c r="AV21" s="17">
        <v>0.13</v>
      </c>
      <c r="AW21" s="17">
        <v>0.14000000000000001</v>
      </c>
      <c r="AX21" s="17">
        <v>0.15</v>
      </c>
      <c r="AY21" s="17">
        <v>0</v>
      </c>
      <c r="AZ21" s="17">
        <v>0</v>
      </c>
      <c r="BA21" s="17">
        <v>0</v>
      </c>
    </row>
    <row r="22" spans="1:53" x14ac:dyDescent="0.25">
      <c r="A22" s="6" t="s">
        <v>61</v>
      </c>
      <c r="B22" s="17">
        <v>1</v>
      </c>
      <c r="C22" s="17">
        <v>1</v>
      </c>
      <c r="D22" s="17">
        <v>1</v>
      </c>
      <c r="E22" s="17">
        <v>0.98</v>
      </c>
      <c r="F22" s="17">
        <v>1</v>
      </c>
      <c r="G22" s="17">
        <v>1</v>
      </c>
      <c r="H22" s="17">
        <v>1</v>
      </c>
      <c r="I22" s="17">
        <v>1</v>
      </c>
      <c r="J22" s="17">
        <v>1</v>
      </c>
      <c r="K22" s="17">
        <v>1</v>
      </c>
      <c r="L22" s="17">
        <v>0</v>
      </c>
      <c r="M22" s="17">
        <v>0</v>
      </c>
      <c r="N22" s="17">
        <v>0</v>
      </c>
      <c r="O22" s="17">
        <v>1</v>
      </c>
      <c r="P22" s="17">
        <v>1</v>
      </c>
      <c r="Q22" s="17">
        <v>1</v>
      </c>
      <c r="R22" s="17">
        <v>0.97</v>
      </c>
      <c r="S22" s="17">
        <v>1</v>
      </c>
      <c r="T22" s="17">
        <v>0.99</v>
      </c>
      <c r="U22" s="17">
        <v>1</v>
      </c>
      <c r="V22" s="16"/>
      <c r="W22" s="17">
        <v>1</v>
      </c>
      <c r="X22" s="17">
        <v>0</v>
      </c>
      <c r="Y22" s="17">
        <v>0</v>
      </c>
      <c r="Z22" s="17">
        <v>0</v>
      </c>
      <c r="AA22" s="17">
        <v>0</v>
      </c>
      <c r="AB22" s="17">
        <v>1</v>
      </c>
      <c r="AC22" s="17">
        <v>1</v>
      </c>
      <c r="AD22" s="17">
        <v>1</v>
      </c>
      <c r="AE22" s="17">
        <v>0.91</v>
      </c>
      <c r="AF22" s="17">
        <v>1</v>
      </c>
      <c r="AG22" s="17">
        <v>0.7</v>
      </c>
      <c r="AH22" s="17">
        <v>1</v>
      </c>
      <c r="AI22" s="17">
        <v>0.5</v>
      </c>
      <c r="AJ22" s="17">
        <v>0.5</v>
      </c>
      <c r="AK22" s="17">
        <v>0.5</v>
      </c>
      <c r="AL22" s="17">
        <v>0</v>
      </c>
      <c r="AM22" s="17">
        <v>0</v>
      </c>
      <c r="AN22" s="17">
        <v>1</v>
      </c>
      <c r="AO22" s="17">
        <v>1</v>
      </c>
      <c r="AP22" s="17">
        <v>1</v>
      </c>
      <c r="AQ22" s="17">
        <v>0.65</v>
      </c>
      <c r="AR22" s="17">
        <v>0.67</v>
      </c>
      <c r="AS22" s="17">
        <v>0.66</v>
      </c>
      <c r="AT22" s="17">
        <v>0.45</v>
      </c>
      <c r="AU22" s="17">
        <v>0.64</v>
      </c>
      <c r="AV22" s="17">
        <v>0.26</v>
      </c>
      <c r="AW22" s="17">
        <v>0.09</v>
      </c>
      <c r="AX22" s="17">
        <v>0.12</v>
      </c>
      <c r="AY22" s="17">
        <v>0</v>
      </c>
      <c r="AZ22" s="17">
        <v>0</v>
      </c>
      <c r="BA22" s="17">
        <v>0</v>
      </c>
    </row>
    <row r="23" spans="1:53" x14ac:dyDescent="0.25">
      <c r="A23" s="6" t="s">
        <v>56</v>
      </c>
      <c r="B23" s="17">
        <v>1</v>
      </c>
      <c r="C23" s="17">
        <v>1</v>
      </c>
      <c r="D23" s="17">
        <v>1</v>
      </c>
      <c r="E23" s="17">
        <v>0.99</v>
      </c>
      <c r="F23" s="17">
        <v>1</v>
      </c>
      <c r="G23" s="17">
        <v>1</v>
      </c>
      <c r="H23" s="17">
        <v>1</v>
      </c>
      <c r="I23" s="17">
        <v>1</v>
      </c>
      <c r="J23" s="17">
        <v>1</v>
      </c>
      <c r="K23" s="17">
        <v>1</v>
      </c>
      <c r="L23" s="17">
        <v>1</v>
      </c>
      <c r="M23" s="17">
        <v>0.5</v>
      </c>
      <c r="N23" s="17">
        <v>0</v>
      </c>
      <c r="O23" s="17">
        <v>1</v>
      </c>
      <c r="P23" s="17">
        <v>1</v>
      </c>
      <c r="Q23" s="17">
        <v>1</v>
      </c>
      <c r="R23" s="17">
        <v>0.98</v>
      </c>
      <c r="S23" s="17">
        <v>1</v>
      </c>
      <c r="T23" s="17">
        <v>0.99</v>
      </c>
      <c r="U23" s="17">
        <v>1</v>
      </c>
      <c r="V23" s="17">
        <v>0</v>
      </c>
      <c r="W23" s="16"/>
      <c r="X23" s="17">
        <v>0</v>
      </c>
      <c r="Y23" s="17">
        <v>0</v>
      </c>
      <c r="Z23" s="17">
        <v>0</v>
      </c>
      <c r="AA23" s="17">
        <v>0</v>
      </c>
      <c r="AB23" s="17">
        <v>1</v>
      </c>
      <c r="AC23" s="17">
        <v>1</v>
      </c>
      <c r="AD23" s="17">
        <v>1</v>
      </c>
      <c r="AE23" s="17">
        <v>0.89</v>
      </c>
      <c r="AF23" s="17">
        <v>1</v>
      </c>
      <c r="AG23" s="17">
        <v>0.86</v>
      </c>
      <c r="AH23" s="17">
        <v>1</v>
      </c>
      <c r="AI23" s="17">
        <v>1</v>
      </c>
      <c r="AJ23" s="17">
        <v>0.5</v>
      </c>
      <c r="AK23" s="17">
        <v>0.5</v>
      </c>
      <c r="AL23" s="17">
        <v>0.5</v>
      </c>
      <c r="AM23" s="17">
        <v>0.5</v>
      </c>
      <c r="AN23" s="17">
        <v>1</v>
      </c>
      <c r="AO23" s="17">
        <v>1</v>
      </c>
      <c r="AP23" s="17">
        <v>1</v>
      </c>
      <c r="AQ23" s="17">
        <v>0.64</v>
      </c>
      <c r="AR23" s="17">
        <v>0.65</v>
      </c>
      <c r="AS23" s="17">
        <v>0.89</v>
      </c>
      <c r="AT23" s="17">
        <v>0.55000000000000004</v>
      </c>
      <c r="AU23" s="17">
        <v>0.66</v>
      </c>
      <c r="AV23" s="17">
        <v>0.62</v>
      </c>
      <c r="AW23" s="17">
        <v>0.24</v>
      </c>
      <c r="AX23" s="17">
        <v>0.14000000000000001</v>
      </c>
      <c r="AY23" s="17">
        <v>0.13</v>
      </c>
      <c r="AZ23" s="17">
        <v>0.14000000000000001</v>
      </c>
      <c r="BA23" s="17">
        <v>0</v>
      </c>
    </row>
    <row r="24" spans="1:53" x14ac:dyDescent="0.25">
      <c r="A24" s="6" t="s">
        <v>51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>
        <v>1</v>
      </c>
      <c r="M24" s="17">
        <v>1</v>
      </c>
      <c r="N24" s="17">
        <v>1</v>
      </c>
      <c r="O24" s="17">
        <v>1</v>
      </c>
      <c r="P24" s="17">
        <v>1</v>
      </c>
      <c r="Q24" s="17">
        <v>1</v>
      </c>
      <c r="R24" s="17">
        <v>0.99</v>
      </c>
      <c r="S24" s="17">
        <v>1</v>
      </c>
      <c r="T24" s="17">
        <v>1</v>
      </c>
      <c r="U24" s="17">
        <v>1</v>
      </c>
      <c r="V24" s="17">
        <v>1</v>
      </c>
      <c r="W24" s="17">
        <v>1</v>
      </c>
      <c r="X24" s="16"/>
      <c r="Y24" s="17">
        <v>0</v>
      </c>
      <c r="Z24" s="17">
        <v>0</v>
      </c>
      <c r="AA24" s="17">
        <v>0</v>
      </c>
      <c r="AB24" s="17">
        <v>1</v>
      </c>
      <c r="AC24" s="17">
        <v>1</v>
      </c>
      <c r="AD24" s="17">
        <v>1</v>
      </c>
      <c r="AE24" s="17">
        <v>0.96</v>
      </c>
      <c r="AF24" s="17">
        <v>1</v>
      </c>
      <c r="AG24" s="17">
        <v>0.93</v>
      </c>
      <c r="AH24" s="17">
        <v>1</v>
      </c>
      <c r="AI24" s="17">
        <v>1</v>
      </c>
      <c r="AJ24" s="17">
        <v>1</v>
      </c>
      <c r="AK24" s="17">
        <v>0.5</v>
      </c>
      <c r="AL24" s="17">
        <v>0.5</v>
      </c>
      <c r="AM24" s="17">
        <v>0.5</v>
      </c>
      <c r="AN24" s="17">
        <v>1</v>
      </c>
      <c r="AO24" s="17">
        <v>1</v>
      </c>
      <c r="AP24" s="17">
        <v>1</v>
      </c>
      <c r="AQ24" s="17">
        <v>0.65</v>
      </c>
      <c r="AR24" s="17">
        <v>0.89</v>
      </c>
      <c r="AS24" s="17">
        <v>0.87</v>
      </c>
      <c r="AT24" s="17">
        <v>0.63</v>
      </c>
      <c r="AU24" s="17">
        <v>0.61</v>
      </c>
      <c r="AV24" s="17">
        <v>0.64</v>
      </c>
      <c r="AW24" s="17">
        <v>0.62</v>
      </c>
      <c r="AX24" s="17">
        <v>0.23</v>
      </c>
      <c r="AY24" s="17">
        <v>0.14000000000000001</v>
      </c>
      <c r="AZ24" s="17">
        <v>0.11</v>
      </c>
      <c r="BA24" s="17">
        <v>0.11</v>
      </c>
    </row>
    <row r="25" spans="1:53" x14ac:dyDescent="0.25">
      <c r="A25" s="6" t="s">
        <v>48</v>
      </c>
      <c r="B25" s="17">
        <v>1</v>
      </c>
      <c r="C25" s="17">
        <v>1</v>
      </c>
      <c r="D25" s="17">
        <v>1</v>
      </c>
      <c r="E25" s="17">
        <v>1</v>
      </c>
      <c r="F25" s="17">
        <v>1</v>
      </c>
      <c r="G25" s="17">
        <v>1</v>
      </c>
      <c r="H25" s="17">
        <v>1</v>
      </c>
      <c r="I25" s="17">
        <v>1</v>
      </c>
      <c r="J25" s="17">
        <v>1</v>
      </c>
      <c r="K25" s="17">
        <v>1</v>
      </c>
      <c r="L25" s="17">
        <v>1</v>
      </c>
      <c r="M25" s="17">
        <v>1</v>
      </c>
      <c r="N25" s="17">
        <v>1</v>
      </c>
      <c r="O25" s="17">
        <v>1</v>
      </c>
      <c r="P25" s="17">
        <v>1</v>
      </c>
      <c r="Q25" s="17">
        <v>1</v>
      </c>
      <c r="R25" s="17">
        <v>1</v>
      </c>
      <c r="S25" s="17">
        <v>1</v>
      </c>
      <c r="T25" s="17">
        <v>1</v>
      </c>
      <c r="U25" s="17">
        <v>1</v>
      </c>
      <c r="V25" s="17">
        <v>1</v>
      </c>
      <c r="W25" s="17">
        <v>1</v>
      </c>
      <c r="X25" s="17">
        <v>1</v>
      </c>
      <c r="Y25" s="16"/>
      <c r="Z25" s="17">
        <v>0</v>
      </c>
      <c r="AA25" s="17">
        <v>0</v>
      </c>
      <c r="AB25" s="17">
        <v>1</v>
      </c>
      <c r="AC25" s="17">
        <v>1</v>
      </c>
      <c r="AD25" s="17">
        <v>1</v>
      </c>
      <c r="AE25" s="17">
        <v>0.99</v>
      </c>
      <c r="AF25" s="17">
        <v>1</v>
      </c>
      <c r="AG25" s="17">
        <v>0.99</v>
      </c>
      <c r="AH25" s="17">
        <v>1</v>
      </c>
      <c r="AI25" s="17">
        <v>1</v>
      </c>
      <c r="AJ25" s="17">
        <v>1</v>
      </c>
      <c r="AK25" s="17">
        <v>1</v>
      </c>
      <c r="AL25" s="17">
        <v>0.5</v>
      </c>
      <c r="AM25" s="17">
        <v>0.5</v>
      </c>
      <c r="AN25" s="17">
        <v>1</v>
      </c>
      <c r="AO25" s="17">
        <v>1</v>
      </c>
      <c r="AP25" s="17">
        <v>1</v>
      </c>
      <c r="AQ25" s="17">
        <v>0.64</v>
      </c>
      <c r="AR25" s="17">
        <v>0.86</v>
      </c>
      <c r="AS25" s="17">
        <v>0.89</v>
      </c>
      <c r="AT25" s="17">
        <v>0.68</v>
      </c>
      <c r="AU25" s="17">
        <v>0.62</v>
      </c>
      <c r="AV25" s="17">
        <v>0.6</v>
      </c>
      <c r="AW25" s="17">
        <v>0.63</v>
      </c>
      <c r="AX25" s="17">
        <v>0.62</v>
      </c>
      <c r="AY25" s="17">
        <v>0.24</v>
      </c>
      <c r="AZ25" s="17">
        <v>0.11</v>
      </c>
      <c r="BA25" s="17">
        <v>0.13</v>
      </c>
    </row>
    <row r="26" spans="1:53" x14ac:dyDescent="0.25">
      <c r="A26" s="6" t="s">
        <v>44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6"/>
      <c r="AA26" s="17">
        <v>0</v>
      </c>
      <c r="AB26" s="17">
        <v>1</v>
      </c>
      <c r="AC26" s="17">
        <v>1</v>
      </c>
      <c r="AD26" s="17">
        <v>1</v>
      </c>
      <c r="AE26" s="17">
        <v>0.98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0.5</v>
      </c>
      <c r="AN26" s="17">
        <v>1</v>
      </c>
      <c r="AO26" s="17">
        <v>1</v>
      </c>
      <c r="AP26" s="17">
        <v>1</v>
      </c>
      <c r="AQ26" s="17">
        <v>0.89</v>
      </c>
      <c r="AR26" s="17">
        <v>0.9</v>
      </c>
      <c r="AS26" s="17">
        <v>1</v>
      </c>
      <c r="AT26" s="17">
        <v>0.76</v>
      </c>
      <c r="AU26" s="17">
        <v>0.87</v>
      </c>
      <c r="AV26" s="17">
        <v>0.61</v>
      </c>
      <c r="AW26" s="17">
        <v>0.65</v>
      </c>
      <c r="AX26" s="17">
        <v>0.62</v>
      </c>
      <c r="AY26" s="17">
        <v>0.63</v>
      </c>
      <c r="AZ26" s="17">
        <v>0.21</v>
      </c>
      <c r="BA26" s="17">
        <v>0.13</v>
      </c>
    </row>
    <row r="27" spans="1:53" x14ac:dyDescent="0.25">
      <c r="A27" s="6" t="s">
        <v>40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7">
        <v>1</v>
      </c>
      <c r="W27" s="17">
        <v>1</v>
      </c>
      <c r="X27" s="17">
        <v>1</v>
      </c>
      <c r="Y27" s="17">
        <v>1</v>
      </c>
      <c r="Z27" s="17">
        <v>1</v>
      </c>
      <c r="AA27" s="16"/>
      <c r="AB27" s="17">
        <v>1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17">
        <v>1</v>
      </c>
      <c r="AJ27" s="17">
        <v>1</v>
      </c>
      <c r="AK27" s="17">
        <v>1</v>
      </c>
      <c r="AL27" s="17">
        <v>1</v>
      </c>
      <c r="AM27" s="17">
        <v>1</v>
      </c>
      <c r="AN27" s="17">
        <v>1</v>
      </c>
      <c r="AO27" s="17">
        <v>1</v>
      </c>
      <c r="AP27" s="17">
        <v>1</v>
      </c>
      <c r="AQ27" s="17">
        <v>0.88</v>
      </c>
      <c r="AR27" s="17">
        <v>0.91</v>
      </c>
      <c r="AS27" s="17">
        <v>1</v>
      </c>
      <c r="AT27" s="17">
        <v>0.77</v>
      </c>
      <c r="AU27" s="17">
        <v>0.9</v>
      </c>
      <c r="AV27" s="17">
        <v>0.88</v>
      </c>
      <c r="AW27" s="17">
        <v>0.64</v>
      </c>
      <c r="AX27" s="17">
        <v>0.65</v>
      </c>
      <c r="AY27" s="17">
        <v>0.6</v>
      </c>
      <c r="AZ27" s="17">
        <v>0.61</v>
      </c>
      <c r="BA27" s="17">
        <v>0.23</v>
      </c>
    </row>
    <row r="28" spans="1:53" x14ac:dyDescent="0.25">
      <c r="A28" s="6" t="s">
        <v>95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0.5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6"/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0.5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</row>
    <row r="29" spans="1:53" x14ac:dyDescent="0.25">
      <c r="A29" s="6" t="s">
        <v>91</v>
      </c>
      <c r="B29" s="17">
        <v>1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1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1</v>
      </c>
      <c r="AC29" s="16"/>
      <c r="AD29" s="17">
        <v>0.5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0.78</v>
      </c>
      <c r="AP29" s="17">
        <v>0.5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</row>
    <row r="30" spans="1:53" x14ac:dyDescent="0.25">
      <c r="A30" s="6" t="s">
        <v>86</v>
      </c>
      <c r="B30" s="17">
        <v>1</v>
      </c>
      <c r="C30" s="17">
        <v>1</v>
      </c>
      <c r="D30" s="17">
        <v>1</v>
      </c>
      <c r="E30" s="17">
        <v>0.1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1</v>
      </c>
      <c r="P30" s="17">
        <v>1</v>
      </c>
      <c r="Q30" s="17">
        <v>1</v>
      </c>
      <c r="R30" s="17">
        <v>0.54</v>
      </c>
      <c r="S30" s="17">
        <v>0.5</v>
      </c>
      <c r="T30" s="17">
        <v>0.5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1</v>
      </c>
      <c r="AC30" s="17">
        <v>0</v>
      </c>
      <c r="AD30" s="16"/>
      <c r="AE30" s="17">
        <v>0.76</v>
      </c>
      <c r="AF30" s="17">
        <v>0</v>
      </c>
      <c r="AG30" s="17">
        <v>0.14000000000000001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0.5</v>
      </c>
      <c r="AO30" s="17">
        <v>0.75</v>
      </c>
      <c r="AP30" s="17">
        <v>0.5</v>
      </c>
      <c r="AQ30" s="17">
        <v>0.5</v>
      </c>
      <c r="AR30" s="17">
        <v>0</v>
      </c>
      <c r="AS30" s="17">
        <v>0</v>
      </c>
      <c r="AT30" s="17">
        <v>0.51</v>
      </c>
      <c r="AU30" s="17">
        <v>0</v>
      </c>
      <c r="AV30" s="17">
        <v>0</v>
      </c>
      <c r="AW30" s="17">
        <v>0</v>
      </c>
      <c r="AX30" s="17">
        <v>0.5</v>
      </c>
      <c r="AY30" s="17">
        <v>0</v>
      </c>
      <c r="AZ30" s="17">
        <v>0</v>
      </c>
      <c r="BA30" s="17">
        <v>0</v>
      </c>
    </row>
    <row r="31" spans="1:53" x14ac:dyDescent="0.25">
      <c r="A31" s="6" t="s">
        <v>80</v>
      </c>
      <c r="B31" s="17">
        <v>1</v>
      </c>
      <c r="C31" s="17">
        <v>0.72</v>
      </c>
      <c r="D31" s="17">
        <v>0.8</v>
      </c>
      <c r="E31" s="17">
        <v>0.25</v>
      </c>
      <c r="F31" s="17">
        <v>0.41</v>
      </c>
      <c r="G31" s="17">
        <v>0.12</v>
      </c>
      <c r="H31" s="17">
        <v>0.01</v>
      </c>
      <c r="I31" s="17">
        <v>0.02</v>
      </c>
      <c r="J31" s="17">
        <v>0</v>
      </c>
      <c r="K31" s="17">
        <v>0.01</v>
      </c>
      <c r="L31" s="17">
        <v>0</v>
      </c>
      <c r="M31" s="17">
        <v>0</v>
      </c>
      <c r="N31" s="17">
        <v>0</v>
      </c>
      <c r="O31" s="17">
        <v>1</v>
      </c>
      <c r="P31" s="17">
        <v>1</v>
      </c>
      <c r="Q31" s="17">
        <v>0.79</v>
      </c>
      <c r="R31" s="17">
        <v>0.48</v>
      </c>
      <c r="S31" s="17">
        <v>0.59</v>
      </c>
      <c r="T31" s="17">
        <v>0.25</v>
      </c>
      <c r="U31" s="17">
        <v>0.11</v>
      </c>
      <c r="V31" s="17">
        <v>0.1</v>
      </c>
      <c r="W31" s="17">
        <v>0.11</v>
      </c>
      <c r="X31" s="17">
        <v>0.05</v>
      </c>
      <c r="Y31" s="17">
        <v>0.02</v>
      </c>
      <c r="Z31" s="17">
        <v>0.03</v>
      </c>
      <c r="AA31" s="17">
        <v>0.01</v>
      </c>
      <c r="AB31" s="17">
        <v>1</v>
      </c>
      <c r="AC31" s="17">
        <v>1</v>
      </c>
      <c r="AD31" s="17">
        <v>0.25</v>
      </c>
      <c r="AE31" s="16"/>
      <c r="AF31" s="17">
        <v>0.82</v>
      </c>
      <c r="AG31" s="17">
        <v>0.21</v>
      </c>
      <c r="AH31" s="17">
        <v>0.1</v>
      </c>
      <c r="AI31" s="17">
        <v>0.06</v>
      </c>
      <c r="AJ31" s="17">
        <v>7.0000000000000007E-2</v>
      </c>
      <c r="AK31" s="17">
        <v>0.02</v>
      </c>
      <c r="AL31" s="17">
        <v>0.05</v>
      </c>
      <c r="AM31" s="17">
        <v>0.02</v>
      </c>
      <c r="AN31" s="17">
        <v>0.39</v>
      </c>
      <c r="AO31" s="17">
        <v>1</v>
      </c>
      <c r="AP31" s="17">
        <v>0.85</v>
      </c>
      <c r="AQ31" s="17">
        <v>0.68</v>
      </c>
      <c r="AR31" s="17">
        <v>0.56999999999999995</v>
      </c>
      <c r="AS31" s="17">
        <v>0.42</v>
      </c>
      <c r="AT31" s="17">
        <v>0.46</v>
      </c>
      <c r="AU31" s="17">
        <v>0.38</v>
      </c>
      <c r="AV31" s="17">
        <v>0.31</v>
      </c>
      <c r="AW31" s="17">
        <v>0.36</v>
      </c>
      <c r="AX31" s="17">
        <v>0.36</v>
      </c>
      <c r="AY31" s="17">
        <v>0.21</v>
      </c>
      <c r="AZ31" s="17">
        <v>0.2</v>
      </c>
      <c r="BA31" s="17">
        <v>0.23</v>
      </c>
    </row>
    <row r="32" spans="1:53" x14ac:dyDescent="0.25">
      <c r="A32" s="6" t="s">
        <v>84</v>
      </c>
      <c r="B32" s="17">
        <v>1</v>
      </c>
      <c r="C32" s="17">
        <v>1</v>
      </c>
      <c r="D32" s="17">
        <v>1</v>
      </c>
      <c r="E32" s="17">
        <v>0.1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1</v>
      </c>
      <c r="P32" s="17">
        <v>1</v>
      </c>
      <c r="Q32" s="17">
        <v>1</v>
      </c>
      <c r="R32" s="17">
        <v>0.13</v>
      </c>
      <c r="S32" s="17">
        <v>0.5</v>
      </c>
      <c r="T32" s="17">
        <v>0.03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1</v>
      </c>
      <c r="AC32" s="17">
        <v>1</v>
      </c>
      <c r="AD32" s="17">
        <v>1</v>
      </c>
      <c r="AE32" s="17">
        <v>0.19</v>
      </c>
      <c r="AF32" s="16"/>
      <c r="AG32" s="17">
        <v>0.26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1</v>
      </c>
      <c r="AP32" s="17">
        <v>0.79</v>
      </c>
      <c r="AQ32" s="17">
        <v>0.5</v>
      </c>
      <c r="AR32" s="17">
        <v>0.66</v>
      </c>
      <c r="AS32" s="17">
        <v>0.5</v>
      </c>
      <c r="AT32" s="17">
        <v>0.09</v>
      </c>
      <c r="AU32" s="17">
        <v>0</v>
      </c>
      <c r="AV32" s="17">
        <v>0</v>
      </c>
      <c r="AW32" s="17">
        <v>0</v>
      </c>
      <c r="AX32" s="17">
        <v>0.5</v>
      </c>
      <c r="AY32" s="17">
        <v>0</v>
      </c>
      <c r="AZ32" s="17">
        <v>0</v>
      </c>
      <c r="BA32" s="17">
        <v>0</v>
      </c>
    </row>
    <row r="33" spans="1:53" x14ac:dyDescent="0.25">
      <c r="A33" s="6" t="s">
        <v>75</v>
      </c>
      <c r="B33" s="17">
        <v>1</v>
      </c>
      <c r="C33" s="17">
        <v>1</v>
      </c>
      <c r="D33" s="17">
        <v>1</v>
      </c>
      <c r="E33" s="17">
        <v>0.72</v>
      </c>
      <c r="F33" s="17">
        <v>0.48</v>
      </c>
      <c r="G33" s="17">
        <v>0.22</v>
      </c>
      <c r="H33" s="17">
        <v>0.03</v>
      </c>
      <c r="I33" s="17">
        <v>0.03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1</v>
      </c>
      <c r="P33" s="17">
        <v>1</v>
      </c>
      <c r="Q33" s="17">
        <v>1</v>
      </c>
      <c r="R33" s="17">
        <v>0.79</v>
      </c>
      <c r="S33" s="17">
        <v>0.81</v>
      </c>
      <c r="T33" s="17">
        <v>0.56999999999999995</v>
      </c>
      <c r="U33" s="17">
        <v>0.33</v>
      </c>
      <c r="V33" s="17">
        <v>0.3</v>
      </c>
      <c r="W33" s="17">
        <v>0.14000000000000001</v>
      </c>
      <c r="X33" s="17">
        <v>7.0000000000000007E-2</v>
      </c>
      <c r="Y33" s="17">
        <v>0.01</v>
      </c>
      <c r="Z33" s="17">
        <v>0</v>
      </c>
      <c r="AA33" s="17">
        <v>0</v>
      </c>
      <c r="AB33" s="17">
        <v>1</v>
      </c>
      <c r="AC33" s="17">
        <v>1</v>
      </c>
      <c r="AD33" s="17">
        <v>0.87</v>
      </c>
      <c r="AE33" s="17">
        <v>0.8</v>
      </c>
      <c r="AF33" s="17">
        <v>0.74</v>
      </c>
      <c r="AG33" s="16"/>
      <c r="AH33" s="17">
        <v>0.42</v>
      </c>
      <c r="AI33" s="17">
        <v>0.39</v>
      </c>
      <c r="AJ33" s="17">
        <v>0.38</v>
      </c>
      <c r="AK33" s="17">
        <v>0</v>
      </c>
      <c r="AL33" s="17">
        <v>0</v>
      </c>
      <c r="AM33" s="17">
        <v>0</v>
      </c>
      <c r="AN33" s="17">
        <v>0.55000000000000004</v>
      </c>
      <c r="AO33" s="17">
        <v>1</v>
      </c>
      <c r="AP33" s="17">
        <v>0.77</v>
      </c>
      <c r="AQ33" s="17">
        <v>0.48</v>
      </c>
      <c r="AR33" s="17">
        <v>0.56000000000000005</v>
      </c>
      <c r="AS33" s="17">
        <v>0.68</v>
      </c>
      <c r="AT33" s="17">
        <v>0.43</v>
      </c>
      <c r="AU33" s="17">
        <v>0.28000000000000003</v>
      </c>
      <c r="AV33" s="17">
        <v>0.25</v>
      </c>
      <c r="AW33" s="17">
        <v>0.16</v>
      </c>
      <c r="AX33" s="17">
        <v>0.61</v>
      </c>
      <c r="AY33" s="17">
        <v>7.0000000000000007E-2</v>
      </c>
      <c r="AZ33" s="17">
        <v>0.05</v>
      </c>
      <c r="BA33" s="17">
        <v>0</v>
      </c>
    </row>
    <row r="34" spans="1:53" x14ac:dyDescent="0.25">
      <c r="A34" s="6" t="s">
        <v>73</v>
      </c>
      <c r="B34" s="17">
        <v>1</v>
      </c>
      <c r="C34" s="17">
        <v>1</v>
      </c>
      <c r="D34" s="17">
        <v>1</v>
      </c>
      <c r="E34" s="17">
        <v>0.49</v>
      </c>
      <c r="F34" s="17">
        <v>1</v>
      </c>
      <c r="G34" s="17">
        <v>0.17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1</v>
      </c>
      <c r="P34" s="17">
        <v>1</v>
      </c>
      <c r="Q34" s="17">
        <v>1</v>
      </c>
      <c r="R34" s="17">
        <v>0.88</v>
      </c>
      <c r="S34" s="17">
        <v>1</v>
      </c>
      <c r="T34" s="17">
        <v>0.61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1</v>
      </c>
      <c r="AC34" s="17">
        <v>1</v>
      </c>
      <c r="AD34" s="17">
        <v>1</v>
      </c>
      <c r="AE34" s="17">
        <v>0.91</v>
      </c>
      <c r="AF34" s="17">
        <v>1</v>
      </c>
      <c r="AG34" s="17">
        <v>0.59</v>
      </c>
      <c r="AH34" s="16"/>
      <c r="AI34" s="17">
        <v>0.5</v>
      </c>
      <c r="AJ34" s="17">
        <v>0.5</v>
      </c>
      <c r="AK34" s="17">
        <v>0</v>
      </c>
      <c r="AL34" s="17">
        <v>0</v>
      </c>
      <c r="AM34" s="17">
        <v>0</v>
      </c>
      <c r="AN34" s="17">
        <v>0.5</v>
      </c>
      <c r="AO34" s="17">
        <v>1</v>
      </c>
      <c r="AP34" s="17">
        <v>1</v>
      </c>
      <c r="AQ34" s="17">
        <v>0.77</v>
      </c>
      <c r="AR34" s="17">
        <v>0.61</v>
      </c>
      <c r="AS34" s="17">
        <v>0.75</v>
      </c>
      <c r="AT34" s="17">
        <v>0.64</v>
      </c>
      <c r="AU34" s="17">
        <v>0.47</v>
      </c>
      <c r="AV34" s="17">
        <v>0</v>
      </c>
      <c r="AW34" s="17">
        <v>0</v>
      </c>
      <c r="AX34" s="17">
        <v>0.5</v>
      </c>
      <c r="AY34" s="17">
        <v>0</v>
      </c>
      <c r="AZ34" s="17">
        <v>0</v>
      </c>
      <c r="BA34" s="17">
        <v>0</v>
      </c>
    </row>
    <row r="35" spans="1:53" x14ac:dyDescent="0.25">
      <c r="A35" s="6" t="s">
        <v>68</v>
      </c>
      <c r="B35" s="17">
        <v>1</v>
      </c>
      <c r="C35" s="17">
        <v>1</v>
      </c>
      <c r="D35" s="17">
        <v>1</v>
      </c>
      <c r="E35" s="17">
        <v>0.83</v>
      </c>
      <c r="F35" s="17">
        <v>1</v>
      </c>
      <c r="G35" s="17">
        <v>0.55000000000000004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1</v>
      </c>
      <c r="P35" s="17">
        <v>1</v>
      </c>
      <c r="Q35" s="17">
        <v>1</v>
      </c>
      <c r="R35" s="17">
        <v>0.84</v>
      </c>
      <c r="S35" s="17">
        <v>1</v>
      </c>
      <c r="T35" s="17">
        <v>0.77</v>
      </c>
      <c r="U35" s="17">
        <v>0.5</v>
      </c>
      <c r="V35" s="17">
        <v>0.5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1</v>
      </c>
      <c r="AC35" s="17">
        <v>1</v>
      </c>
      <c r="AD35" s="17">
        <v>1</v>
      </c>
      <c r="AE35" s="17">
        <v>0.95</v>
      </c>
      <c r="AF35" s="17">
        <v>1</v>
      </c>
      <c r="AG35" s="17">
        <v>0.62</v>
      </c>
      <c r="AH35" s="17">
        <v>0.5</v>
      </c>
      <c r="AI35" s="16"/>
      <c r="AJ35" s="17">
        <v>0.5</v>
      </c>
      <c r="AK35" s="17">
        <v>0.5</v>
      </c>
      <c r="AL35" s="17">
        <v>0.5</v>
      </c>
      <c r="AM35" s="17">
        <v>0</v>
      </c>
      <c r="AN35" s="17">
        <v>0.5</v>
      </c>
      <c r="AO35" s="17">
        <v>1</v>
      </c>
      <c r="AP35" s="17">
        <v>1</v>
      </c>
      <c r="AQ35" s="17">
        <v>0.74</v>
      </c>
      <c r="AR35" s="17">
        <v>0.6</v>
      </c>
      <c r="AS35" s="17">
        <v>0.77</v>
      </c>
      <c r="AT35" s="17">
        <v>0.65</v>
      </c>
      <c r="AU35" s="17">
        <v>0.73</v>
      </c>
      <c r="AV35" s="17">
        <v>0.5</v>
      </c>
      <c r="AW35" s="17">
        <v>0</v>
      </c>
      <c r="AX35" s="17">
        <v>0.5</v>
      </c>
      <c r="AY35" s="17">
        <v>0</v>
      </c>
      <c r="AZ35" s="17">
        <v>0</v>
      </c>
      <c r="BA35" s="17">
        <v>0</v>
      </c>
    </row>
    <row r="36" spans="1:53" x14ac:dyDescent="0.25">
      <c r="A36" s="6" t="s">
        <v>65</v>
      </c>
      <c r="B36" s="17">
        <v>1</v>
      </c>
      <c r="C36" s="17">
        <v>1</v>
      </c>
      <c r="D36" s="17">
        <v>1</v>
      </c>
      <c r="E36" s="17">
        <v>0.85</v>
      </c>
      <c r="F36" s="17">
        <v>1</v>
      </c>
      <c r="G36" s="17">
        <v>0.64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1</v>
      </c>
      <c r="P36" s="17">
        <v>1</v>
      </c>
      <c r="Q36" s="17">
        <v>1</v>
      </c>
      <c r="R36" s="17">
        <v>0.91</v>
      </c>
      <c r="S36" s="17">
        <v>1</v>
      </c>
      <c r="T36" s="17">
        <v>0.8</v>
      </c>
      <c r="U36" s="17">
        <v>0.5</v>
      </c>
      <c r="V36" s="17">
        <v>0.5</v>
      </c>
      <c r="W36" s="17">
        <v>0.5</v>
      </c>
      <c r="X36" s="17">
        <v>0</v>
      </c>
      <c r="Y36" s="17">
        <v>0</v>
      </c>
      <c r="Z36" s="17">
        <v>0</v>
      </c>
      <c r="AA36" s="17">
        <v>0</v>
      </c>
      <c r="AB36" s="17">
        <v>1</v>
      </c>
      <c r="AC36" s="17">
        <v>1</v>
      </c>
      <c r="AD36" s="17">
        <v>1</v>
      </c>
      <c r="AE36" s="17">
        <v>0.93</v>
      </c>
      <c r="AF36" s="17">
        <v>1</v>
      </c>
      <c r="AG36" s="17">
        <v>0.62</v>
      </c>
      <c r="AH36" s="17">
        <v>0.5</v>
      </c>
      <c r="AI36" s="17">
        <v>0.5</v>
      </c>
      <c r="AJ36" s="16"/>
      <c r="AK36" s="17">
        <v>0.5</v>
      </c>
      <c r="AL36" s="17">
        <v>0.5</v>
      </c>
      <c r="AM36" s="17">
        <v>0.5</v>
      </c>
      <c r="AN36" s="17">
        <v>1</v>
      </c>
      <c r="AO36" s="17">
        <v>1</v>
      </c>
      <c r="AP36" s="17">
        <v>1</v>
      </c>
      <c r="AQ36" s="17">
        <v>0.76</v>
      </c>
      <c r="AR36" s="17">
        <v>0.61</v>
      </c>
      <c r="AS36" s="17">
        <v>0.75</v>
      </c>
      <c r="AT36" s="17">
        <v>0.73</v>
      </c>
      <c r="AU36" s="17">
        <v>0.79</v>
      </c>
      <c r="AV36" s="17">
        <v>0.78</v>
      </c>
      <c r="AW36" s="17">
        <v>0.5</v>
      </c>
      <c r="AX36" s="17">
        <v>0.5</v>
      </c>
      <c r="AY36" s="17">
        <v>0</v>
      </c>
      <c r="AZ36" s="17">
        <v>0</v>
      </c>
      <c r="BA36" s="17">
        <v>0</v>
      </c>
    </row>
    <row r="37" spans="1:53" x14ac:dyDescent="0.25">
      <c r="A37" s="6" t="s">
        <v>60</v>
      </c>
      <c r="B37" s="17">
        <v>1</v>
      </c>
      <c r="C37" s="17">
        <v>1</v>
      </c>
      <c r="D37" s="17">
        <v>1</v>
      </c>
      <c r="E37" s="17">
        <v>0.93</v>
      </c>
      <c r="F37" s="17">
        <v>1</v>
      </c>
      <c r="G37" s="17">
        <v>0.76</v>
      </c>
      <c r="H37" s="17">
        <v>1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1</v>
      </c>
      <c r="P37" s="17">
        <v>1</v>
      </c>
      <c r="Q37" s="17">
        <v>1</v>
      </c>
      <c r="R37" s="17">
        <v>0.93</v>
      </c>
      <c r="S37" s="17">
        <v>1</v>
      </c>
      <c r="T37" s="17">
        <v>1</v>
      </c>
      <c r="U37" s="17">
        <v>1</v>
      </c>
      <c r="V37" s="17">
        <v>0.5</v>
      </c>
      <c r="W37" s="17">
        <v>0.5</v>
      </c>
      <c r="X37" s="17">
        <v>0.5</v>
      </c>
      <c r="Y37" s="17">
        <v>0</v>
      </c>
      <c r="Z37" s="17">
        <v>0</v>
      </c>
      <c r="AA37" s="17">
        <v>0</v>
      </c>
      <c r="AB37" s="17">
        <v>1</v>
      </c>
      <c r="AC37" s="17">
        <v>1</v>
      </c>
      <c r="AD37" s="17">
        <v>1</v>
      </c>
      <c r="AE37" s="17">
        <v>0.98</v>
      </c>
      <c r="AF37" s="17">
        <v>1</v>
      </c>
      <c r="AG37" s="17">
        <v>1</v>
      </c>
      <c r="AH37" s="17">
        <v>1</v>
      </c>
      <c r="AI37" s="17">
        <v>0.5</v>
      </c>
      <c r="AJ37" s="17">
        <v>0.5</v>
      </c>
      <c r="AK37" s="16"/>
      <c r="AL37" s="17">
        <v>0.5</v>
      </c>
      <c r="AM37" s="17">
        <v>0.5</v>
      </c>
      <c r="AN37" s="17">
        <v>1</v>
      </c>
      <c r="AO37" s="17">
        <v>1</v>
      </c>
      <c r="AP37" s="17">
        <v>1</v>
      </c>
      <c r="AQ37" s="17">
        <v>0.74</v>
      </c>
      <c r="AR37" s="17">
        <v>0.93</v>
      </c>
      <c r="AS37" s="17">
        <v>0.74</v>
      </c>
      <c r="AT37" s="17">
        <v>0.73</v>
      </c>
      <c r="AU37" s="17">
        <v>0.77</v>
      </c>
      <c r="AV37" s="17">
        <v>0.69</v>
      </c>
      <c r="AW37" s="17">
        <v>0.78</v>
      </c>
      <c r="AX37" s="17">
        <v>1</v>
      </c>
      <c r="AY37" s="17">
        <v>0</v>
      </c>
      <c r="AZ37" s="17">
        <v>0</v>
      </c>
      <c r="BA37" s="17">
        <v>0</v>
      </c>
    </row>
    <row r="38" spans="1:53" x14ac:dyDescent="0.25">
      <c r="A38" s="6" t="s">
        <v>57</v>
      </c>
      <c r="B38" s="17">
        <v>1</v>
      </c>
      <c r="C38" s="17">
        <v>1</v>
      </c>
      <c r="D38" s="17">
        <v>1</v>
      </c>
      <c r="E38" s="17">
        <v>0.89</v>
      </c>
      <c r="F38" s="17">
        <v>1</v>
      </c>
      <c r="G38" s="17">
        <v>1</v>
      </c>
      <c r="H38" s="17">
        <v>1</v>
      </c>
      <c r="I38" s="17">
        <v>0.5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1</v>
      </c>
      <c r="P38" s="17">
        <v>1</v>
      </c>
      <c r="Q38" s="17">
        <v>1</v>
      </c>
      <c r="R38" s="17">
        <v>0.96</v>
      </c>
      <c r="S38" s="17">
        <v>1</v>
      </c>
      <c r="T38" s="17">
        <v>1</v>
      </c>
      <c r="U38" s="17">
        <v>1</v>
      </c>
      <c r="V38" s="17">
        <v>1</v>
      </c>
      <c r="W38" s="17">
        <v>0.5</v>
      </c>
      <c r="X38" s="17">
        <v>0.5</v>
      </c>
      <c r="Y38" s="17">
        <v>0.5</v>
      </c>
      <c r="Z38" s="17">
        <v>0</v>
      </c>
      <c r="AA38" s="17">
        <v>0</v>
      </c>
      <c r="AB38" s="17">
        <v>1</v>
      </c>
      <c r="AC38" s="17">
        <v>1</v>
      </c>
      <c r="AD38" s="17">
        <v>1</v>
      </c>
      <c r="AE38" s="17">
        <v>0.96</v>
      </c>
      <c r="AF38" s="17">
        <v>1</v>
      </c>
      <c r="AG38" s="17">
        <v>1</v>
      </c>
      <c r="AH38" s="17">
        <v>1</v>
      </c>
      <c r="AI38" s="17">
        <v>0.5</v>
      </c>
      <c r="AJ38" s="17">
        <v>0.5</v>
      </c>
      <c r="AK38" s="17">
        <v>0.5</v>
      </c>
      <c r="AL38" s="16"/>
      <c r="AM38" s="17">
        <v>0.5</v>
      </c>
      <c r="AN38" s="17">
        <v>1</v>
      </c>
      <c r="AO38" s="17">
        <v>1</v>
      </c>
      <c r="AP38" s="17">
        <v>1</v>
      </c>
      <c r="AQ38" s="17">
        <v>0.74</v>
      </c>
      <c r="AR38" s="17">
        <v>0.94</v>
      </c>
      <c r="AS38" s="17">
        <v>0.74</v>
      </c>
      <c r="AT38" s="17">
        <v>0.78</v>
      </c>
      <c r="AU38" s="17">
        <v>0.73</v>
      </c>
      <c r="AV38" s="17">
        <v>0.72</v>
      </c>
      <c r="AW38" s="17">
        <v>0.79</v>
      </c>
      <c r="AX38" s="17">
        <v>1</v>
      </c>
      <c r="AY38" s="17">
        <v>0.5</v>
      </c>
      <c r="AZ38" s="17">
        <v>0</v>
      </c>
      <c r="BA38" s="17">
        <v>0</v>
      </c>
    </row>
    <row r="39" spans="1:53" x14ac:dyDescent="0.25">
      <c r="A39" s="6" t="s">
        <v>53</v>
      </c>
      <c r="B39" s="17">
        <v>1</v>
      </c>
      <c r="C39" s="17">
        <v>1</v>
      </c>
      <c r="D39" s="17">
        <v>1</v>
      </c>
      <c r="E39" s="17">
        <v>0.99</v>
      </c>
      <c r="F39" s="17">
        <v>1</v>
      </c>
      <c r="G39" s="17">
        <v>1</v>
      </c>
      <c r="H39" s="17">
        <v>1</v>
      </c>
      <c r="I39" s="17">
        <v>1</v>
      </c>
      <c r="J39" s="17">
        <v>0.5</v>
      </c>
      <c r="K39" s="17">
        <v>0</v>
      </c>
      <c r="L39" s="17">
        <v>0</v>
      </c>
      <c r="M39" s="17">
        <v>0</v>
      </c>
      <c r="N39" s="17">
        <v>0</v>
      </c>
      <c r="O39" s="17">
        <v>1</v>
      </c>
      <c r="P39" s="17">
        <v>1</v>
      </c>
      <c r="Q39" s="17">
        <v>1</v>
      </c>
      <c r="R39" s="17">
        <v>0.98</v>
      </c>
      <c r="S39" s="17">
        <v>1</v>
      </c>
      <c r="T39" s="17">
        <v>1</v>
      </c>
      <c r="U39" s="17">
        <v>1</v>
      </c>
      <c r="V39" s="17">
        <v>1</v>
      </c>
      <c r="W39" s="17">
        <v>0.5</v>
      </c>
      <c r="X39" s="17">
        <v>0.5</v>
      </c>
      <c r="Y39" s="17">
        <v>0.5</v>
      </c>
      <c r="Z39" s="17">
        <v>0.5</v>
      </c>
      <c r="AA39" s="17">
        <v>0</v>
      </c>
      <c r="AB39" s="17">
        <v>1</v>
      </c>
      <c r="AC39" s="17">
        <v>1</v>
      </c>
      <c r="AD39" s="17">
        <v>1</v>
      </c>
      <c r="AE39" s="17">
        <v>0.98</v>
      </c>
      <c r="AF39" s="17">
        <v>1</v>
      </c>
      <c r="AG39" s="17">
        <v>1</v>
      </c>
      <c r="AH39" s="17">
        <v>1</v>
      </c>
      <c r="AI39" s="17">
        <v>1</v>
      </c>
      <c r="AJ39" s="17">
        <v>0.5</v>
      </c>
      <c r="AK39" s="17">
        <v>0.5</v>
      </c>
      <c r="AL39" s="17">
        <v>0.5</v>
      </c>
      <c r="AM39" s="16"/>
      <c r="AN39" s="17">
        <v>1</v>
      </c>
      <c r="AO39" s="17">
        <v>1</v>
      </c>
      <c r="AP39" s="17">
        <v>1</v>
      </c>
      <c r="AQ39" s="17">
        <v>0.76</v>
      </c>
      <c r="AR39" s="17">
        <v>0.97</v>
      </c>
      <c r="AS39" s="17">
        <v>1</v>
      </c>
      <c r="AT39" s="17">
        <v>0.79</v>
      </c>
      <c r="AU39" s="17">
        <v>0.78</v>
      </c>
      <c r="AV39" s="17">
        <v>0.75</v>
      </c>
      <c r="AW39" s="17">
        <v>0.74</v>
      </c>
      <c r="AX39" s="17">
        <v>1</v>
      </c>
      <c r="AY39" s="17">
        <v>0.76</v>
      </c>
      <c r="AZ39" s="17">
        <v>0.5</v>
      </c>
      <c r="BA39" s="17">
        <v>0</v>
      </c>
    </row>
    <row r="40" spans="1:53" x14ac:dyDescent="0.25">
      <c r="A40" s="6" t="s">
        <v>81</v>
      </c>
      <c r="B40" s="17">
        <v>1</v>
      </c>
      <c r="C40" s="17">
        <v>1</v>
      </c>
      <c r="D40" s="17">
        <v>0.5</v>
      </c>
      <c r="E40" s="17">
        <v>0.55000000000000004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1</v>
      </c>
      <c r="P40" s="17">
        <v>1</v>
      </c>
      <c r="Q40" s="17">
        <v>1</v>
      </c>
      <c r="R40" s="17">
        <v>0.51</v>
      </c>
      <c r="S40" s="17">
        <v>0</v>
      </c>
      <c r="T40" s="17">
        <v>0.01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1</v>
      </c>
      <c r="AC40" s="17">
        <v>1</v>
      </c>
      <c r="AD40" s="17">
        <v>0.5</v>
      </c>
      <c r="AE40" s="17">
        <v>0.61</v>
      </c>
      <c r="AF40" s="17">
        <v>1</v>
      </c>
      <c r="AG40" s="17">
        <v>0.45</v>
      </c>
      <c r="AH40" s="17">
        <v>0.5</v>
      </c>
      <c r="AI40" s="17">
        <v>0.5</v>
      </c>
      <c r="AJ40" s="17">
        <v>0</v>
      </c>
      <c r="AK40" s="17">
        <v>0</v>
      </c>
      <c r="AL40" s="17">
        <v>0</v>
      </c>
      <c r="AM40" s="17">
        <v>0</v>
      </c>
      <c r="AN40" s="16"/>
      <c r="AO40" s="17">
        <v>1</v>
      </c>
      <c r="AP40" s="17">
        <v>1</v>
      </c>
      <c r="AQ40" s="17">
        <v>0.3</v>
      </c>
      <c r="AR40" s="17">
        <v>0.39</v>
      </c>
      <c r="AS40" s="17">
        <v>0.61</v>
      </c>
      <c r="AT40" s="17">
        <v>0.37</v>
      </c>
      <c r="AU40" s="17">
        <v>0.25</v>
      </c>
      <c r="AV40" s="17">
        <v>0.26</v>
      </c>
      <c r="AW40" s="17">
        <v>0.22</v>
      </c>
      <c r="AX40" s="17">
        <v>0.5</v>
      </c>
      <c r="AY40" s="17">
        <v>0.24</v>
      </c>
      <c r="AZ40" s="17">
        <v>0.26</v>
      </c>
      <c r="BA40" s="17">
        <v>0</v>
      </c>
    </row>
    <row r="41" spans="1:53" x14ac:dyDescent="0.25">
      <c r="A41" s="6" t="s">
        <v>92</v>
      </c>
      <c r="B41" s="17">
        <v>0.14000000000000001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0.74</v>
      </c>
      <c r="P41" s="17">
        <v>0</v>
      </c>
      <c r="Q41" s="17">
        <v>0.14000000000000001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0.5</v>
      </c>
      <c r="AC41" s="17">
        <v>0.22</v>
      </c>
      <c r="AD41" s="17">
        <v>0.25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6"/>
      <c r="AP41" s="17">
        <v>0.5</v>
      </c>
      <c r="AQ41" s="17">
        <v>0.26</v>
      </c>
      <c r="AR41" s="17">
        <v>0.15</v>
      </c>
      <c r="AS41" s="17">
        <v>0.23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</row>
    <row r="42" spans="1:53" x14ac:dyDescent="0.25">
      <c r="A42" s="6" t="s">
        <v>88</v>
      </c>
      <c r="B42" s="17">
        <v>1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1</v>
      </c>
      <c r="P42" s="17">
        <v>0.48</v>
      </c>
      <c r="Q42" s="17">
        <v>0.39</v>
      </c>
      <c r="R42" s="17">
        <v>0.03</v>
      </c>
      <c r="S42" s="17">
        <v>0.13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1</v>
      </c>
      <c r="AC42" s="17">
        <v>0.5</v>
      </c>
      <c r="AD42" s="17">
        <v>0.25</v>
      </c>
      <c r="AE42" s="17">
        <v>0.15</v>
      </c>
      <c r="AF42" s="17">
        <v>0.21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0.5</v>
      </c>
      <c r="AP42" s="16"/>
      <c r="AQ42" s="17">
        <v>0.5</v>
      </c>
      <c r="AR42" s="17">
        <v>0.19</v>
      </c>
      <c r="AS42" s="17">
        <v>0.26</v>
      </c>
      <c r="AT42" s="17">
        <v>0.3</v>
      </c>
      <c r="AU42" s="17">
        <v>0.24</v>
      </c>
      <c r="AV42" s="17">
        <v>0.25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</row>
    <row r="43" spans="1:53" x14ac:dyDescent="0.25">
      <c r="A43" s="6" t="s">
        <v>76</v>
      </c>
      <c r="B43" s="17">
        <v>1</v>
      </c>
      <c r="C43" s="17">
        <v>0.73</v>
      </c>
      <c r="D43" s="17">
        <v>0.75</v>
      </c>
      <c r="E43" s="17">
        <v>0.12</v>
      </c>
      <c r="F43" s="17">
        <v>0.35</v>
      </c>
      <c r="G43" s="17">
        <v>0.36</v>
      </c>
      <c r="H43" s="17">
        <v>0.11</v>
      </c>
      <c r="I43" s="17">
        <v>0.11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1</v>
      </c>
      <c r="P43" s="17">
        <v>1</v>
      </c>
      <c r="Q43" s="17">
        <v>1</v>
      </c>
      <c r="R43" s="17">
        <v>0.49</v>
      </c>
      <c r="S43" s="17">
        <v>0.73</v>
      </c>
      <c r="T43" s="17">
        <v>0.72</v>
      </c>
      <c r="U43" s="17">
        <v>0.35</v>
      </c>
      <c r="V43" s="17">
        <v>0.36</v>
      </c>
      <c r="W43" s="17">
        <v>0.36</v>
      </c>
      <c r="X43" s="17">
        <v>0.35</v>
      </c>
      <c r="Y43" s="17">
        <v>0.36</v>
      </c>
      <c r="Z43" s="17">
        <v>0.11</v>
      </c>
      <c r="AA43" s="17">
        <v>0.12</v>
      </c>
      <c r="AB43" s="17">
        <v>1</v>
      </c>
      <c r="AC43" s="17">
        <v>0.5</v>
      </c>
      <c r="AD43" s="17">
        <v>0.5</v>
      </c>
      <c r="AE43" s="17">
        <v>0.33</v>
      </c>
      <c r="AF43" s="17">
        <v>0.5</v>
      </c>
      <c r="AG43" s="17">
        <v>0.53</v>
      </c>
      <c r="AH43" s="17">
        <v>0.24</v>
      </c>
      <c r="AI43" s="17">
        <v>0.27</v>
      </c>
      <c r="AJ43" s="17">
        <v>0.24</v>
      </c>
      <c r="AK43" s="17">
        <v>0.27</v>
      </c>
      <c r="AL43" s="17">
        <v>0.27</v>
      </c>
      <c r="AM43" s="17">
        <v>0.25</v>
      </c>
      <c r="AN43" s="17">
        <v>0.7</v>
      </c>
      <c r="AO43" s="17">
        <v>0.75</v>
      </c>
      <c r="AP43" s="17">
        <v>0.5</v>
      </c>
      <c r="AQ43" s="16"/>
      <c r="AR43" s="17">
        <v>0.36</v>
      </c>
      <c r="AS43" s="17">
        <v>0.5</v>
      </c>
      <c r="AT43" s="17">
        <v>0.5</v>
      </c>
      <c r="AU43" s="17">
        <v>0.5</v>
      </c>
      <c r="AV43" s="17">
        <v>0.5</v>
      </c>
      <c r="AW43" s="17">
        <v>0.5</v>
      </c>
      <c r="AX43" s="17">
        <v>0.5</v>
      </c>
      <c r="AY43" s="17">
        <v>0.5</v>
      </c>
      <c r="AZ43" s="17">
        <v>0.26</v>
      </c>
      <c r="BA43" s="17">
        <v>0.26</v>
      </c>
    </row>
    <row r="44" spans="1:53" x14ac:dyDescent="0.25">
      <c r="A44" s="6" t="s">
        <v>74</v>
      </c>
      <c r="B44" s="17">
        <v>1</v>
      </c>
      <c r="C44" s="17">
        <v>0.84</v>
      </c>
      <c r="D44" s="17">
        <v>0.95</v>
      </c>
      <c r="E44" s="17">
        <v>0.2</v>
      </c>
      <c r="F44" s="17">
        <v>0.35</v>
      </c>
      <c r="G44" s="17">
        <v>0.19</v>
      </c>
      <c r="H44" s="17">
        <v>0.08</v>
      </c>
      <c r="I44" s="17">
        <v>0.11</v>
      </c>
      <c r="J44" s="17">
        <v>0.04</v>
      </c>
      <c r="K44" s="17">
        <v>0.02</v>
      </c>
      <c r="L44" s="17">
        <v>0.01</v>
      </c>
      <c r="M44" s="17">
        <v>0.03</v>
      </c>
      <c r="N44" s="17">
        <v>0.01</v>
      </c>
      <c r="O44" s="17">
        <v>1</v>
      </c>
      <c r="P44" s="17">
        <v>0.84</v>
      </c>
      <c r="Q44" s="17">
        <v>0.96</v>
      </c>
      <c r="R44" s="17">
        <v>0.62</v>
      </c>
      <c r="S44" s="17">
        <v>0.53</v>
      </c>
      <c r="T44" s="17">
        <v>0.55000000000000004</v>
      </c>
      <c r="U44" s="17">
        <v>0.37</v>
      </c>
      <c r="V44" s="17">
        <v>0.33</v>
      </c>
      <c r="W44" s="17">
        <v>0.35</v>
      </c>
      <c r="X44" s="17">
        <v>0.11</v>
      </c>
      <c r="Y44" s="17">
        <v>0.14000000000000001</v>
      </c>
      <c r="Z44" s="17">
        <v>0.1</v>
      </c>
      <c r="AA44" s="17">
        <v>0.09</v>
      </c>
      <c r="AB44" s="17">
        <v>1</v>
      </c>
      <c r="AC44" s="17">
        <v>1</v>
      </c>
      <c r="AD44" s="17">
        <v>1</v>
      </c>
      <c r="AE44" s="17">
        <v>0.43</v>
      </c>
      <c r="AF44" s="17">
        <v>0.35</v>
      </c>
      <c r="AG44" s="17">
        <v>0.45</v>
      </c>
      <c r="AH44" s="17">
        <v>0.4</v>
      </c>
      <c r="AI44" s="17">
        <v>0.41</v>
      </c>
      <c r="AJ44" s="17">
        <v>0.4</v>
      </c>
      <c r="AK44" s="17">
        <v>7.0000000000000007E-2</v>
      </c>
      <c r="AL44" s="17">
        <v>7.0000000000000007E-2</v>
      </c>
      <c r="AM44" s="17">
        <v>0.04</v>
      </c>
      <c r="AN44" s="17">
        <v>0.62</v>
      </c>
      <c r="AO44" s="17">
        <v>0.85</v>
      </c>
      <c r="AP44" s="17">
        <v>0.69</v>
      </c>
      <c r="AQ44" s="17">
        <v>0.65</v>
      </c>
      <c r="AR44" s="16"/>
      <c r="AS44" s="17">
        <v>0.64</v>
      </c>
      <c r="AT44" s="17">
        <v>0.66</v>
      </c>
      <c r="AU44" s="17">
        <v>0.44</v>
      </c>
      <c r="AV44" s="17">
        <v>0.44</v>
      </c>
      <c r="AW44" s="17">
        <v>0.44</v>
      </c>
      <c r="AX44" s="17">
        <v>0.52</v>
      </c>
      <c r="AY44" s="17">
        <v>0.45</v>
      </c>
      <c r="AZ44" s="17">
        <v>0.49</v>
      </c>
      <c r="BA44" s="17">
        <v>0.43</v>
      </c>
    </row>
    <row r="45" spans="1:53" x14ac:dyDescent="0.25">
      <c r="A45" s="6" t="s">
        <v>77</v>
      </c>
      <c r="B45" s="17">
        <v>1</v>
      </c>
      <c r="C45" s="17">
        <v>0.67</v>
      </c>
      <c r="D45" s="17">
        <v>0.91</v>
      </c>
      <c r="E45" s="17">
        <v>0.44</v>
      </c>
      <c r="F45" s="17">
        <v>0.15</v>
      </c>
      <c r="G45" s="17">
        <v>0.24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1</v>
      </c>
      <c r="P45" s="17">
        <v>1</v>
      </c>
      <c r="Q45" s="17">
        <v>1</v>
      </c>
      <c r="R45" s="17">
        <v>0.7</v>
      </c>
      <c r="S45" s="17">
        <v>0.77</v>
      </c>
      <c r="T45" s="17">
        <v>0.49</v>
      </c>
      <c r="U45" s="17">
        <v>0.37</v>
      </c>
      <c r="V45" s="17">
        <v>0.35</v>
      </c>
      <c r="W45" s="17">
        <v>0.12</v>
      </c>
      <c r="X45" s="17">
        <v>0.14000000000000001</v>
      </c>
      <c r="Y45" s="17">
        <v>0.12</v>
      </c>
      <c r="Z45" s="17">
        <v>0</v>
      </c>
      <c r="AA45" s="17">
        <v>0</v>
      </c>
      <c r="AB45" s="17">
        <v>1</v>
      </c>
      <c r="AC45" s="17">
        <v>1</v>
      </c>
      <c r="AD45" s="17">
        <v>1</v>
      </c>
      <c r="AE45" s="17">
        <v>0.57999999999999996</v>
      </c>
      <c r="AF45" s="17">
        <v>0.5</v>
      </c>
      <c r="AG45" s="17">
        <v>0.32</v>
      </c>
      <c r="AH45" s="17">
        <v>0.25</v>
      </c>
      <c r="AI45" s="17">
        <v>0.24</v>
      </c>
      <c r="AJ45" s="17">
        <v>0.25</v>
      </c>
      <c r="AK45" s="17">
        <v>0.27</v>
      </c>
      <c r="AL45" s="17">
        <v>0.27</v>
      </c>
      <c r="AM45" s="17">
        <v>0</v>
      </c>
      <c r="AN45" s="17">
        <v>0.4</v>
      </c>
      <c r="AO45" s="17">
        <v>0.77</v>
      </c>
      <c r="AP45" s="17">
        <v>0.5</v>
      </c>
      <c r="AQ45" s="17">
        <v>0.5</v>
      </c>
      <c r="AR45" s="17">
        <v>0.37</v>
      </c>
      <c r="AS45" s="16"/>
      <c r="AT45" s="17">
        <v>0.52</v>
      </c>
      <c r="AU45" s="17">
        <v>0.5</v>
      </c>
      <c r="AV45" s="17">
        <v>0.5</v>
      </c>
      <c r="AW45" s="17">
        <v>0.28999999999999998</v>
      </c>
      <c r="AX45" s="17">
        <v>0.25</v>
      </c>
      <c r="AY45" s="17">
        <v>0.23</v>
      </c>
      <c r="AZ45" s="17">
        <v>0.24</v>
      </c>
      <c r="BA45" s="17">
        <v>0.27</v>
      </c>
    </row>
    <row r="46" spans="1:53" x14ac:dyDescent="0.25">
      <c r="A46" s="6" t="s">
        <v>69</v>
      </c>
      <c r="B46" s="17">
        <v>1</v>
      </c>
      <c r="C46" s="17">
        <v>0.99</v>
      </c>
      <c r="D46" s="17">
        <v>0.99</v>
      </c>
      <c r="E46" s="17">
        <v>0.57999999999999996</v>
      </c>
      <c r="F46" s="17">
        <v>0.83</v>
      </c>
      <c r="G46" s="17">
        <v>0.5</v>
      </c>
      <c r="H46" s="17">
        <v>0.2</v>
      </c>
      <c r="I46" s="17">
        <v>0.21</v>
      </c>
      <c r="J46" s="17">
        <v>0.11</v>
      </c>
      <c r="K46" s="17">
        <v>0.12</v>
      </c>
      <c r="L46" s="17">
        <v>0</v>
      </c>
      <c r="M46" s="17">
        <v>0.02</v>
      </c>
      <c r="N46" s="17">
        <v>0.02</v>
      </c>
      <c r="O46" s="17">
        <v>1</v>
      </c>
      <c r="P46" s="17">
        <v>1</v>
      </c>
      <c r="Q46" s="17">
        <v>0.99</v>
      </c>
      <c r="R46" s="17">
        <v>0.76</v>
      </c>
      <c r="S46" s="17">
        <v>0.94</v>
      </c>
      <c r="T46" s="17">
        <v>0.68</v>
      </c>
      <c r="U46" s="17">
        <v>0.56999999999999995</v>
      </c>
      <c r="V46" s="17">
        <v>0.55000000000000004</v>
      </c>
      <c r="W46" s="17">
        <v>0.46</v>
      </c>
      <c r="X46" s="17">
        <v>0.38</v>
      </c>
      <c r="Y46" s="17">
        <v>0.32</v>
      </c>
      <c r="Z46" s="17">
        <v>0.25</v>
      </c>
      <c r="AA46" s="17">
        <v>0.23</v>
      </c>
      <c r="AB46" s="17">
        <v>1</v>
      </c>
      <c r="AC46" s="17">
        <v>1</v>
      </c>
      <c r="AD46" s="17">
        <v>0.5</v>
      </c>
      <c r="AE46" s="17">
        <v>0.55000000000000004</v>
      </c>
      <c r="AF46" s="17">
        <v>0.91</v>
      </c>
      <c r="AG46" s="17">
        <v>0.56999999999999995</v>
      </c>
      <c r="AH46" s="17">
        <v>0.36</v>
      </c>
      <c r="AI46" s="17">
        <v>0.35</v>
      </c>
      <c r="AJ46" s="17">
        <v>0.28000000000000003</v>
      </c>
      <c r="AK46" s="17">
        <v>0.27</v>
      </c>
      <c r="AL46" s="17">
        <v>0.23</v>
      </c>
      <c r="AM46" s="17">
        <v>0.21</v>
      </c>
      <c r="AN46" s="17">
        <v>0.63</v>
      </c>
      <c r="AO46" s="17">
        <v>1</v>
      </c>
      <c r="AP46" s="17">
        <v>0.71</v>
      </c>
      <c r="AQ46" s="17">
        <v>0.5</v>
      </c>
      <c r="AR46" s="17">
        <v>0.34</v>
      </c>
      <c r="AS46" s="17">
        <v>0.49</v>
      </c>
      <c r="AT46" s="16"/>
      <c r="AU46" s="17">
        <v>0.46</v>
      </c>
      <c r="AV46" s="17">
        <v>0.44</v>
      </c>
      <c r="AW46" s="17">
        <v>0.43</v>
      </c>
      <c r="AX46" s="17">
        <v>0.43</v>
      </c>
      <c r="AY46" s="17">
        <v>0.37</v>
      </c>
      <c r="AZ46" s="17">
        <v>0.35</v>
      </c>
      <c r="BA46" s="17">
        <v>0.35</v>
      </c>
    </row>
    <row r="47" spans="1:53" x14ac:dyDescent="0.25">
      <c r="A47" s="6" t="s">
        <v>67</v>
      </c>
      <c r="B47" s="17">
        <v>1</v>
      </c>
      <c r="C47" s="17">
        <v>1</v>
      </c>
      <c r="D47" s="17">
        <v>1</v>
      </c>
      <c r="E47" s="17">
        <v>0.44</v>
      </c>
      <c r="F47" s="17">
        <v>0.91</v>
      </c>
      <c r="G47" s="17">
        <v>0.59</v>
      </c>
      <c r="H47" s="17">
        <v>0.56000000000000005</v>
      </c>
      <c r="I47" s="17">
        <v>0.13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1</v>
      </c>
      <c r="P47" s="17">
        <v>1</v>
      </c>
      <c r="Q47" s="17">
        <v>1</v>
      </c>
      <c r="R47" s="17">
        <v>0.7</v>
      </c>
      <c r="S47" s="17">
        <v>1</v>
      </c>
      <c r="T47" s="17">
        <v>0.82</v>
      </c>
      <c r="U47" s="17">
        <v>0.9</v>
      </c>
      <c r="V47" s="17">
        <v>0.37</v>
      </c>
      <c r="W47" s="17">
        <v>0.35</v>
      </c>
      <c r="X47" s="17">
        <v>0.39</v>
      </c>
      <c r="Y47" s="17">
        <v>0.38</v>
      </c>
      <c r="Z47" s="17">
        <v>0.13</v>
      </c>
      <c r="AA47" s="17">
        <v>0.1</v>
      </c>
      <c r="AB47" s="17">
        <v>1</v>
      </c>
      <c r="AC47" s="17">
        <v>1</v>
      </c>
      <c r="AD47" s="17">
        <v>1</v>
      </c>
      <c r="AE47" s="17">
        <v>0.63</v>
      </c>
      <c r="AF47" s="17">
        <v>1</v>
      </c>
      <c r="AG47" s="17">
        <v>0.73</v>
      </c>
      <c r="AH47" s="17">
        <v>0.53</v>
      </c>
      <c r="AI47" s="17">
        <v>0.27</v>
      </c>
      <c r="AJ47" s="17">
        <v>0.22</v>
      </c>
      <c r="AK47" s="17">
        <v>0.23</v>
      </c>
      <c r="AL47" s="17">
        <v>0.27</v>
      </c>
      <c r="AM47" s="17">
        <v>0.22</v>
      </c>
      <c r="AN47" s="17">
        <v>0.76</v>
      </c>
      <c r="AO47" s="17">
        <v>1</v>
      </c>
      <c r="AP47" s="17">
        <v>0.77</v>
      </c>
      <c r="AQ47" s="17">
        <v>0.5</v>
      </c>
      <c r="AR47" s="17">
        <v>0.56000000000000005</v>
      </c>
      <c r="AS47" s="17">
        <v>0.5</v>
      </c>
      <c r="AT47" s="17">
        <v>0.55000000000000004</v>
      </c>
      <c r="AU47" s="16"/>
      <c r="AV47" s="17">
        <v>0.5</v>
      </c>
      <c r="AW47" s="17">
        <v>0.5</v>
      </c>
      <c r="AX47" s="17">
        <v>0.5</v>
      </c>
      <c r="AY47" s="17">
        <v>0.5</v>
      </c>
      <c r="AZ47" s="17">
        <v>0.25</v>
      </c>
      <c r="BA47" s="17">
        <v>0.26</v>
      </c>
    </row>
    <row r="48" spans="1:53" x14ac:dyDescent="0.25">
      <c r="A48" s="6" t="s">
        <v>64</v>
      </c>
      <c r="B48" s="17">
        <v>1</v>
      </c>
      <c r="C48" s="17">
        <v>1</v>
      </c>
      <c r="D48" s="17">
        <v>1</v>
      </c>
      <c r="E48" s="17">
        <v>0.72</v>
      </c>
      <c r="F48" s="17">
        <v>0.9</v>
      </c>
      <c r="G48" s="17">
        <v>0.62</v>
      </c>
      <c r="H48" s="17">
        <v>0.82</v>
      </c>
      <c r="I48" s="17">
        <v>0.14000000000000001</v>
      </c>
      <c r="J48" s="17">
        <v>0.13</v>
      </c>
      <c r="K48" s="17">
        <v>0</v>
      </c>
      <c r="L48" s="17">
        <v>0</v>
      </c>
      <c r="M48" s="17">
        <v>0</v>
      </c>
      <c r="N48" s="17">
        <v>0</v>
      </c>
      <c r="O48" s="17">
        <v>1</v>
      </c>
      <c r="P48" s="17">
        <v>1</v>
      </c>
      <c r="Q48" s="17">
        <v>1</v>
      </c>
      <c r="R48" s="17">
        <v>0.74</v>
      </c>
      <c r="S48" s="17">
        <v>1</v>
      </c>
      <c r="T48" s="17">
        <v>0.86</v>
      </c>
      <c r="U48" s="17">
        <v>0.88</v>
      </c>
      <c r="V48" s="17">
        <v>0.75</v>
      </c>
      <c r="W48" s="17">
        <v>0.39</v>
      </c>
      <c r="X48" s="17">
        <v>0.36</v>
      </c>
      <c r="Y48" s="17">
        <v>0.41</v>
      </c>
      <c r="Z48" s="17">
        <v>0.4</v>
      </c>
      <c r="AA48" s="17">
        <v>0.12</v>
      </c>
      <c r="AB48" s="17">
        <v>1</v>
      </c>
      <c r="AC48" s="17">
        <v>1</v>
      </c>
      <c r="AD48" s="17">
        <v>1</v>
      </c>
      <c r="AE48" s="17">
        <v>0.69</v>
      </c>
      <c r="AF48" s="17">
        <v>1</v>
      </c>
      <c r="AG48" s="17">
        <v>0.76</v>
      </c>
      <c r="AH48" s="17">
        <v>1</v>
      </c>
      <c r="AI48" s="17">
        <v>0.5</v>
      </c>
      <c r="AJ48" s="17">
        <v>0.23</v>
      </c>
      <c r="AK48" s="17">
        <v>0.32</v>
      </c>
      <c r="AL48" s="17">
        <v>0.28000000000000003</v>
      </c>
      <c r="AM48" s="17">
        <v>0.26</v>
      </c>
      <c r="AN48" s="17">
        <v>0.75</v>
      </c>
      <c r="AO48" s="17">
        <v>1</v>
      </c>
      <c r="AP48" s="17">
        <v>0.75</v>
      </c>
      <c r="AQ48" s="17">
        <v>0.5</v>
      </c>
      <c r="AR48" s="17">
        <v>0.56000000000000005</v>
      </c>
      <c r="AS48" s="17">
        <v>0.5</v>
      </c>
      <c r="AT48" s="17">
        <v>0.56000000000000005</v>
      </c>
      <c r="AU48" s="17">
        <v>0.5</v>
      </c>
      <c r="AV48" s="16"/>
      <c r="AW48" s="17">
        <v>0.5</v>
      </c>
      <c r="AX48" s="17">
        <v>0.5</v>
      </c>
      <c r="AY48" s="17">
        <v>0.5</v>
      </c>
      <c r="AZ48" s="17">
        <v>0.5</v>
      </c>
      <c r="BA48" s="17">
        <v>0.24</v>
      </c>
    </row>
    <row r="49" spans="1:53" x14ac:dyDescent="0.25">
      <c r="A49" s="6" t="s">
        <v>59</v>
      </c>
      <c r="B49" s="17">
        <v>1</v>
      </c>
      <c r="C49" s="17">
        <v>1</v>
      </c>
      <c r="D49" s="17">
        <v>1</v>
      </c>
      <c r="E49" s="17">
        <v>0.74</v>
      </c>
      <c r="F49" s="17">
        <v>1</v>
      </c>
      <c r="G49" s="17">
        <v>0.71</v>
      </c>
      <c r="H49" s="17">
        <v>0.86</v>
      </c>
      <c r="I49" s="17">
        <v>0.9</v>
      </c>
      <c r="J49" s="17">
        <v>0.1</v>
      </c>
      <c r="K49" s="17">
        <v>0.1</v>
      </c>
      <c r="L49" s="17">
        <v>0</v>
      </c>
      <c r="M49" s="17">
        <v>0</v>
      </c>
      <c r="N49" s="17">
        <v>0</v>
      </c>
      <c r="O49" s="17">
        <v>1</v>
      </c>
      <c r="P49" s="17">
        <v>1</v>
      </c>
      <c r="Q49" s="17">
        <v>1</v>
      </c>
      <c r="R49" s="17">
        <v>0.9</v>
      </c>
      <c r="S49" s="17">
        <v>1</v>
      </c>
      <c r="T49" s="17">
        <v>0.91</v>
      </c>
      <c r="U49" s="17">
        <v>0.87</v>
      </c>
      <c r="V49" s="17">
        <v>0.92</v>
      </c>
      <c r="W49" s="17">
        <v>0.76</v>
      </c>
      <c r="X49" s="17">
        <v>0.38</v>
      </c>
      <c r="Y49" s="17">
        <v>0.38</v>
      </c>
      <c r="Z49" s="17">
        <v>0.36</v>
      </c>
      <c r="AA49" s="17">
        <v>0.37</v>
      </c>
      <c r="AB49" s="17">
        <v>1</v>
      </c>
      <c r="AC49" s="17">
        <v>1</v>
      </c>
      <c r="AD49" s="17">
        <v>1</v>
      </c>
      <c r="AE49" s="17">
        <v>0.65</v>
      </c>
      <c r="AF49" s="17">
        <v>1</v>
      </c>
      <c r="AG49" s="17">
        <v>0.84</v>
      </c>
      <c r="AH49" s="17">
        <v>1</v>
      </c>
      <c r="AI49" s="17">
        <v>1</v>
      </c>
      <c r="AJ49" s="17">
        <v>0.5</v>
      </c>
      <c r="AK49" s="17">
        <v>0.23</v>
      </c>
      <c r="AL49" s="17">
        <v>0.22</v>
      </c>
      <c r="AM49" s="17">
        <v>0.27</v>
      </c>
      <c r="AN49" s="17">
        <v>0.78</v>
      </c>
      <c r="AO49" s="17">
        <v>1</v>
      </c>
      <c r="AP49" s="17">
        <v>0.75</v>
      </c>
      <c r="AQ49" s="17">
        <v>0.5</v>
      </c>
      <c r="AR49" s="17">
        <v>0.56000000000000005</v>
      </c>
      <c r="AS49" s="17">
        <v>0.71</v>
      </c>
      <c r="AT49" s="17">
        <v>0.56999999999999995</v>
      </c>
      <c r="AU49" s="17">
        <v>0.5</v>
      </c>
      <c r="AV49" s="17">
        <v>0.5</v>
      </c>
      <c r="AW49" s="16"/>
      <c r="AX49" s="17">
        <v>0.5</v>
      </c>
      <c r="AY49" s="17">
        <v>0.5</v>
      </c>
      <c r="AZ49" s="17">
        <v>0.5</v>
      </c>
      <c r="BA49" s="17">
        <v>0.5</v>
      </c>
    </row>
    <row r="50" spans="1:53" x14ac:dyDescent="0.25">
      <c r="A50" s="6" t="s">
        <v>63</v>
      </c>
      <c r="B50" s="17">
        <v>1</v>
      </c>
      <c r="C50" s="17">
        <v>1</v>
      </c>
      <c r="D50" s="17">
        <v>1</v>
      </c>
      <c r="E50" s="17">
        <v>0.91</v>
      </c>
      <c r="F50" s="17">
        <v>1</v>
      </c>
      <c r="G50" s="17">
        <v>0.74</v>
      </c>
      <c r="H50" s="17">
        <v>0.88</v>
      </c>
      <c r="I50" s="17">
        <v>0.89</v>
      </c>
      <c r="J50" s="17">
        <v>0.54</v>
      </c>
      <c r="K50" s="17">
        <v>0.12</v>
      </c>
      <c r="L50" s="17">
        <v>0</v>
      </c>
      <c r="M50" s="17">
        <v>0.13</v>
      </c>
      <c r="N50" s="17">
        <v>0</v>
      </c>
      <c r="O50" s="17">
        <v>1</v>
      </c>
      <c r="P50" s="17">
        <v>1</v>
      </c>
      <c r="Q50" s="17">
        <v>1</v>
      </c>
      <c r="R50" s="17">
        <v>0.99</v>
      </c>
      <c r="S50" s="17">
        <v>1</v>
      </c>
      <c r="T50" s="17">
        <v>0.92</v>
      </c>
      <c r="U50" s="17">
        <v>0.85</v>
      </c>
      <c r="V50" s="17">
        <v>0.88</v>
      </c>
      <c r="W50" s="17">
        <v>0.86</v>
      </c>
      <c r="X50" s="17">
        <v>0.77</v>
      </c>
      <c r="Y50" s="17">
        <v>0.39</v>
      </c>
      <c r="Z50" s="17">
        <v>0.38</v>
      </c>
      <c r="AA50" s="17">
        <v>0.35</v>
      </c>
      <c r="AB50" s="17">
        <v>1</v>
      </c>
      <c r="AC50" s="17">
        <v>1</v>
      </c>
      <c r="AD50" s="17">
        <v>0.5</v>
      </c>
      <c r="AE50" s="17">
        <v>0.64</v>
      </c>
      <c r="AF50" s="17">
        <v>0.5</v>
      </c>
      <c r="AG50" s="17">
        <v>0.4</v>
      </c>
      <c r="AH50" s="17">
        <v>0.5</v>
      </c>
      <c r="AI50" s="17">
        <v>0.5</v>
      </c>
      <c r="AJ50" s="17">
        <v>0.5</v>
      </c>
      <c r="AK50" s="17">
        <v>0</v>
      </c>
      <c r="AL50" s="17">
        <v>0</v>
      </c>
      <c r="AM50" s="17">
        <v>0</v>
      </c>
      <c r="AN50" s="17">
        <v>0.51</v>
      </c>
      <c r="AO50" s="17">
        <v>1</v>
      </c>
      <c r="AP50" s="17">
        <v>1</v>
      </c>
      <c r="AQ50" s="17">
        <v>0.5</v>
      </c>
      <c r="AR50" s="17">
        <v>0.49</v>
      </c>
      <c r="AS50" s="17">
        <v>0.75</v>
      </c>
      <c r="AT50" s="17">
        <v>0.56999999999999995</v>
      </c>
      <c r="AU50" s="17">
        <v>0.5</v>
      </c>
      <c r="AV50" s="17">
        <v>0.5</v>
      </c>
      <c r="AW50" s="17">
        <v>0.5</v>
      </c>
      <c r="AX50" s="16"/>
      <c r="AY50" s="17">
        <v>0.5</v>
      </c>
      <c r="AZ50" s="17">
        <v>0.5</v>
      </c>
      <c r="BA50" s="17">
        <v>0.5</v>
      </c>
    </row>
    <row r="51" spans="1:53" x14ac:dyDescent="0.25">
      <c r="A51" s="6" t="s">
        <v>52</v>
      </c>
      <c r="B51" s="17">
        <v>1</v>
      </c>
      <c r="C51" s="17">
        <v>1</v>
      </c>
      <c r="D51" s="17">
        <v>1</v>
      </c>
      <c r="E51" s="17">
        <v>0.89</v>
      </c>
      <c r="F51" s="17">
        <v>1</v>
      </c>
      <c r="G51" s="17">
        <v>0.98</v>
      </c>
      <c r="H51" s="17">
        <v>0.88</v>
      </c>
      <c r="I51" s="17">
        <v>0.89</v>
      </c>
      <c r="J51" s="17">
        <v>0.88</v>
      </c>
      <c r="K51" s="17">
        <v>0.54</v>
      </c>
      <c r="L51" s="17">
        <v>0</v>
      </c>
      <c r="M51" s="17">
        <v>0.21</v>
      </c>
      <c r="N51" s="17">
        <v>0.17</v>
      </c>
      <c r="O51" s="17">
        <v>1</v>
      </c>
      <c r="P51" s="17">
        <v>1</v>
      </c>
      <c r="Q51" s="17">
        <v>1</v>
      </c>
      <c r="R51" s="17">
        <v>0.98</v>
      </c>
      <c r="S51" s="17">
        <v>1</v>
      </c>
      <c r="T51" s="17">
        <v>0.96</v>
      </c>
      <c r="U51" s="17">
        <v>1</v>
      </c>
      <c r="V51" s="17">
        <v>1</v>
      </c>
      <c r="W51" s="17">
        <v>0.87</v>
      </c>
      <c r="X51" s="17">
        <v>0.86</v>
      </c>
      <c r="Y51" s="17">
        <v>0.77</v>
      </c>
      <c r="Z51" s="17">
        <v>0.38</v>
      </c>
      <c r="AA51" s="17">
        <v>0.4</v>
      </c>
      <c r="AB51" s="17">
        <v>1</v>
      </c>
      <c r="AC51" s="17">
        <v>1</v>
      </c>
      <c r="AD51" s="17">
        <v>1</v>
      </c>
      <c r="AE51" s="17">
        <v>0.8</v>
      </c>
      <c r="AF51" s="17">
        <v>1</v>
      </c>
      <c r="AG51" s="17">
        <v>0.93</v>
      </c>
      <c r="AH51" s="17">
        <v>1</v>
      </c>
      <c r="AI51" s="17">
        <v>1</v>
      </c>
      <c r="AJ51" s="17">
        <v>1</v>
      </c>
      <c r="AK51" s="17">
        <v>1</v>
      </c>
      <c r="AL51" s="17">
        <v>0.5</v>
      </c>
      <c r="AM51" s="17">
        <v>0.24</v>
      </c>
      <c r="AN51" s="17">
        <v>0.76</v>
      </c>
      <c r="AO51" s="17">
        <v>1</v>
      </c>
      <c r="AP51" s="17">
        <v>1</v>
      </c>
      <c r="AQ51" s="17">
        <v>0.5</v>
      </c>
      <c r="AR51" s="17">
        <v>0.55000000000000004</v>
      </c>
      <c r="AS51" s="17">
        <v>0.77</v>
      </c>
      <c r="AT51" s="17">
        <v>0.63</v>
      </c>
      <c r="AU51" s="17">
        <v>0.5</v>
      </c>
      <c r="AV51" s="17">
        <v>0.5</v>
      </c>
      <c r="AW51" s="17">
        <v>0.5</v>
      </c>
      <c r="AX51" s="17">
        <v>0.5</v>
      </c>
      <c r="AY51" s="16"/>
      <c r="AZ51" s="17">
        <v>0.5</v>
      </c>
      <c r="BA51" s="17">
        <v>0.5</v>
      </c>
    </row>
    <row r="52" spans="1:53" x14ac:dyDescent="0.25">
      <c r="A52" s="6" t="s">
        <v>50</v>
      </c>
      <c r="B52" s="17">
        <v>1</v>
      </c>
      <c r="C52" s="17">
        <v>1</v>
      </c>
      <c r="D52" s="17">
        <v>1</v>
      </c>
      <c r="E52" s="17">
        <v>0.89</v>
      </c>
      <c r="F52" s="17">
        <v>1</v>
      </c>
      <c r="G52" s="17">
        <v>0.98</v>
      </c>
      <c r="H52" s="17">
        <v>0.9</v>
      </c>
      <c r="I52" s="17">
        <v>0.86</v>
      </c>
      <c r="J52" s="17">
        <v>0.88</v>
      </c>
      <c r="K52" s="17">
        <v>0.92</v>
      </c>
      <c r="L52" s="17">
        <v>0.28000000000000003</v>
      </c>
      <c r="M52" s="17">
        <v>0.13</v>
      </c>
      <c r="N52" s="17">
        <v>0.14000000000000001</v>
      </c>
      <c r="O52" s="17">
        <v>1</v>
      </c>
      <c r="P52" s="17">
        <v>1</v>
      </c>
      <c r="Q52" s="17">
        <v>1</v>
      </c>
      <c r="R52" s="17">
        <v>0.99</v>
      </c>
      <c r="S52" s="17">
        <v>1</v>
      </c>
      <c r="T52" s="17">
        <v>0.98</v>
      </c>
      <c r="U52" s="17">
        <v>1</v>
      </c>
      <c r="V52" s="17">
        <v>1</v>
      </c>
      <c r="W52" s="17">
        <v>0.86</v>
      </c>
      <c r="X52" s="17">
        <v>0.89</v>
      </c>
      <c r="Y52" s="17">
        <v>0.89</v>
      </c>
      <c r="Z52" s="17">
        <v>0.8</v>
      </c>
      <c r="AA52" s="17">
        <v>0.4</v>
      </c>
      <c r="AB52" s="17">
        <v>1</v>
      </c>
      <c r="AC52" s="17">
        <v>1</v>
      </c>
      <c r="AD52" s="17">
        <v>1</v>
      </c>
      <c r="AE52" s="17">
        <v>0.8</v>
      </c>
      <c r="AF52" s="17">
        <v>1</v>
      </c>
      <c r="AG52" s="17">
        <v>0.95</v>
      </c>
      <c r="AH52" s="17">
        <v>1</v>
      </c>
      <c r="AI52" s="17">
        <v>1</v>
      </c>
      <c r="AJ52" s="17">
        <v>1</v>
      </c>
      <c r="AK52" s="17">
        <v>1</v>
      </c>
      <c r="AL52" s="17">
        <v>1</v>
      </c>
      <c r="AM52" s="17">
        <v>0.5</v>
      </c>
      <c r="AN52" s="17">
        <v>0.75</v>
      </c>
      <c r="AO52" s="17">
        <v>1</v>
      </c>
      <c r="AP52" s="17">
        <v>1</v>
      </c>
      <c r="AQ52" s="17">
        <v>0.74</v>
      </c>
      <c r="AR52" s="17">
        <v>0.52</v>
      </c>
      <c r="AS52" s="17">
        <v>0.77</v>
      </c>
      <c r="AT52" s="17">
        <v>0.66</v>
      </c>
      <c r="AU52" s="17">
        <v>0.75</v>
      </c>
      <c r="AV52" s="17">
        <v>0.5</v>
      </c>
      <c r="AW52" s="17">
        <v>0.5</v>
      </c>
      <c r="AX52" s="17">
        <v>0.5</v>
      </c>
      <c r="AY52" s="17">
        <v>0.5</v>
      </c>
      <c r="AZ52" s="16"/>
      <c r="BA52" s="17">
        <v>0.5</v>
      </c>
    </row>
    <row r="53" spans="1:53" x14ac:dyDescent="0.25">
      <c r="A53" s="6" t="s">
        <v>46</v>
      </c>
      <c r="B53" s="17">
        <v>1</v>
      </c>
      <c r="C53" s="17">
        <v>1</v>
      </c>
      <c r="D53" s="17">
        <v>1</v>
      </c>
      <c r="E53" s="17">
        <v>0.86</v>
      </c>
      <c r="F53" s="17">
        <v>1</v>
      </c>
      <c r="G53" s="17">
        <v>1</v>
      </c>
      <c r="H53" s="17">
        <v>1</v>
      </c>
      <c r="I53" s="17">
        <v>0.85</v>
      </c>
      <c r="J53" s="17">
        <v>0.9</v>
      </c>
      <c r="K53" s="17">
        <v>0.88</v>
      </c>
      <c r="L53" s="17">
        <v>0.72</v>
      </c>
      <c r="M53" s="17">
        <v>0.53</v>
      </c>
      <c r="N53" s="17">
        <v>0.17</v>
      </c>
      <c r="O53" s="17">
        <v>1</v>
      </c>
      <c r="P53" s="17">
        <v>1</v>
      </c>
      <c r="Q53" s="17">
        <v>1</v>
      </c>
      <c r="R53" s="17">
        <v>0.97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0.89</v>
      </c>
      <c r="Y53" s="17">
        <v>0.88</v>
      </c>
      <c r="Z53" s="17">
        <v>0.88</v>
      </c>
      <c r="AA53" s="17">
        <v>0.78</v>
      </c>
      <c r="AB53" s="17">
        <v>1</v>
      </c>
      <c r="AC53" s="17">
        <v>1</v>
      </c>
      <c r="AD53" s="17">
        <v>1</v>
      </c>
      <c r="AE53" s="17">
        <v>0.77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1</v>
      </c>
      <c r="AO53" s="17">
        <v>1</v>
      </c>
      <c r="AP53" s="17">
        <v>1</v>
      </c>
      <c r="AQ53" s="17">
        <v>0.75</v>
      </c>
      <c r="AR53" s="17">
        <v>0.56999999999999995</v>
      </c>
      <c r="AS53" s="17">
        <v>0.74</v>
      </c>
      <c r="AT53" s="17">
        <v>0.66</v>
      </c>
      <c r="AU53" s="17">
        <v>0.75</v>
      </c>
      <c r="AV53" s="17">
        <v>0.77</v>
      </c>
      <c r="AW53" s="17">
        <v>0.5</v>
      </c>
      <c r="AX53" s="17">
        <v>0.5</v>
      </c>
      <c r="AY53" s="17">
        <v>0.5</v>
      </c>
      <c r="AZ53" s="17">
        <v>0.5</v>
      </c>
      <c r="BA53" s="16"/>
    </row>
  </sheetData>
  <conditionalFormatting sqref="B2:BA53">
    <cfRule type="colorScale" priority="1">
      <colorScale>
        <cfvo type="num" val="0"/>
        <cfvo type="num" val="0.5"/>
        <cfvo type="num" val="1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RowHeight="15" x14ac:dyDescent="0.25"/>
  <cols>
    <col min="1" max="1" width="12" customWidth="1"/>
    <col min="2" max="2" width="17" customWidth="1"/>
    <col min="3" max="3" width="10" customWidth="1"/>
    <col min="4" max="4" width="9" customWidth="1"/>
    <col min="5" max="6" width="18" customWidth="1"/>
    <col min="7" max="8" width="16" customWidth="1"/>
  </cols>
  <sheetData>
    <row r="1" spans="1:8" x14ac:dyDescent="0.25">
      <c r="A1" s="8" t="s">
        <v>14</v>
      </c>
      <c r="B1" s="8" t="s">
        <v>97</v>
      </c>
      <c r="C1" s="8" t="s">
        <v>33</v>
      </c>
      <c r="D1" s="8" t="s">
        <v>34</v>
      </c>
      <c r="E1" s="8" t="s">
        <v>98</v>
      </c>
      <c r="F1" s="8" t="s">
        <v>99</v>
      </c>
      <c r="G1" s="8" t="s">
        <v>100</v>
      </c>
      <c r="H1" s="8" t="s">
        <v>101</v>
      </c>
    </row>
    <row r="2" spans="1:8" x14ac:dyDescent="0.25">
      <c r="A2" s="10" t="s">
        <v>18</v>
      </c>
      <c r="B2" s="9">
        <v>44265</v>
      </c>
      <c r="C2" s="9">
        <v>25384</v>
      </c>
      <c r="D2" s="12">
        <f>C2/B2</f>
        <v>0.57345532587823334</v>
      </c>
      <c r="E2" s="13">
        <v>110021046</v>
      </c>
      <c r="F2" s="13">
        <v>23683373</v>
      </c>
      <c r="G2" s="13">
        <f>E2/B2</f>
        <v>2485.5087766858692</v>
      </c>
      <c r="H2" s="13">
        <f>F2/B2</f>
        <v>535.03610075680558</v>
      </c>
    </row>
    <row r="3" spans="1:8" x14ac:dyDescent="0.25">
      <c r="A3" s="10" t="s">
        <v>19</v>
      </c>
      <c r="B3" s="9">
        <v>44092</v>
      </c>
      <c r="C3" s="9">
        <v>25097</v>
      </c>
      <c r="D3" s="12">
        <f>C3/B3</f>
        <v>0.56919622607275699</v>
      </c>
      <c r="E3" s="13">
        <v>153743363</v>
      </c>
      <c r="F3" s="13">
        <v>21083665</v>
      </c>
      <c r="G3" s="13">
        <f>E3/B3</f>
        <v>3486.8765989295111</v>
      </c>
      <c r="H3" s="13">
        <f>F3/B3</f>
        <v>478.17438537603192</v>
      </c>
    </row>
    <row r="4" spans="1:8" x14ac:dyDescent="0.25">
      <c r="A4" s="10" t="s">
        <v>17</v>
      </c>
      <c r="B4" s="9">
        <v>84200</v>
      </c>
      <c r="C4" s="9">
        <v>40138</v>
      </c>
      <c r="D4" s="12">
        <f>C4/B4</f>
        <v>0.47669833729216154</v>
      </c>
      <c r="E4" s="13">
        <v>108354162</v>
      </c>
      <c r="F4" s="13">
        <v>177552476</v>
      </c>
      <c r="G4" s="13">
        <f>E4/B4</f>
        <v>1286.8665320665084</v>
      </c>
      <c r="H4" s="13">
        <f>F4/B4</f>
        <v>2108.6992399049882</v>
      </c>
    </row>
    <row r="5" spans="1:8" x14ac:dyDescent="0.25">
      <c r="A5" s="10" t="s">
        <v>16</v>
      </c>
      <c r="B5" s="9">
        <v>107443</v>
      </c>
      <c r="C5" s="9">
        <v>49239</v>
      </c>
      <c r="D5" s="12">
        <f>C5/B5</f>
        <v>0.45828020438744266</v>
      </c>
      <c r="E5" s="13">
        <v>111189787</v>
      </c>
      <c r="F5" s="13">
        <v>263324474</v>
      </c>
      <c r="G5" s="13">
        <f>E5/B5</f>
        <v>1034.8723229991717</v>
      </c>
      <c r="H5" s="13">
        <f>F5/B5</f>
        <v>2450.8295002931786</v>
      </c>
    </row>
  </sheetData>
  <conditionalFormatting sqref="D2:D5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3"/>
  <sheetViews>
    <sheetView tabSelected="1" workbookViewId="0">
      <pane ySplit="1" topLeftCell="A23" activePane="bottomLeft" state="frozen"/>
      <selection pane="bottomLeft" activeCell="F52" sqref="F52"/>
    </sheetView>
  </sheetViews>
  <sheetFormatPr defaultRowHeight="15" x14ac:dyDescent="0.25"/>
  <cols>
    <col min="1" max="1" width="5" customWidth="1"/>
    <col min="2" max="2" width="8" customWidth="1"/>
    <col min="3" max="3" width="11" customWidth="1"/>
    <col min="4" max="4" width="6" customWidth="1"/>
    <col min="5" max="5" width="13" customWidth="1"/>
    <col min="6" max="7" width="9" customWidth="1"/>
    <col min="8" max="9" width="15" customWidth="1"/>
    <col min="10" max="11" width="16" customWidth="1"/>
  </cols>
  <sheetData>
    <row r="1" spans="1:11" x14ac:dyDescent="0.25">
      <c r="A1" s="8" t="s">
        <v>29</v>
      </c>
      <c r="B1" s="8" t="s">
        <v>30</v>
      </c>
      <c r="C1" s="8" t="s">
        <v>14</v>
      </c>
      <c r="D1" s="8" t="s">
        <v>31</v>
      </c>
      <c r="E1" s="8" t="s">
        <v>102</v>
      </c>
      <c r="F1" s="8" t="s">
        <v>33</v>
      </c>
      <c r="G1" s="8" t="s">
        <v>34</v>
      </c>
      <c r="H1" s="8" t="s">
        <v>103</v>
      </c>
      <c r="I1" s="8" t="s">
        <v>104</v>
      </c>
      <c r="J1" s="8" t="s">
        <v>105</v>
      </c>
      <c r="K1" s="8" t="s">
        <v>106</v>
      </c>
    </row>
    <row r="2" spans="1:11" x14ac:dyDescent="0.25">
      <c r="A2" s="9">
        <v>52</v>
      </c>
      <c r="B2" s="10" t="s">
        <v>92</v>
      </c>
      <c r="C2" s="11" t="s">
        <v>47</v>
      </c>
      <c r="D2" s="9">
        <v>2</v>
      </c>
      <c r="E2" s="9">
        <v>2</v>
      </c>
      <c r="F2" s="9">
        <v>2</v>
      </c>
      <c r="G2" s="12">
        <f>IF(E2=0,0,F2/E2)</f>
        <v>1</v>
      </c>
      <c r="H2" s="13">
        <v>16365</v>
      </c>
      <c r="I2" s="13">
        <v>46916</v>
      </c>
      <c r="J2" s="13">
        <f>IF(E2=0,0,H2/E2)</f>
        <v>8182.5</v>
      </c>
      <c r="K2" s="13">
        <f>IF(E2=0,0,I2/E2)</f>
        <v>23458</v>
      </c>
    </row>
    <row r="3" spans="1:11" x14ac:dyDescent="0.25">
      <c r="A3" s="9">
        <v>1</v>
      </c>
      <c r="B3" s="10" t="s">
        <v>60</v>
      </c>
      <c r="C3" s="11" t="s">
        <v>54</v>
      </c>
      <c r="D3" s="9">
        <v>11</v>
      </c>
      <c r="E3" s="9">
        <v>5914</v>
      </c>
      <c r="F3" s="9">
        <v>3724</v>
      </c>
      <c r="G3" s="12">
        <f>IF(E3=0,0,F3/E3)</f>
        <v>0.6296922556645248</v>
      </c>
      <c r="H3" s="13">
        <v>19171864</v>
      </c>
      <c r="I3" s="13">
        <v>2835861</v>
      </c>
      <c r="J3" s="13">
        <f>IF(E3=0,0,H3/E3)</f>
        <v>3241.7761244504563</v>
      </c>
      <c r="K3" s="13">
        <f>IF(E3=0,0,I3/E3)</f>
        <v>479.51657084883328</v>
      </c>
    </row>
    <row r="4" spans="1:11" x14ac:dyDescent="0.25">
      <c r="A4" s="9">
        <v>2</v>
      </c>
      <c r="B4" s="10" t="s">
        <v>46</v>
      </c>
      <c r="C4" s="11" t="s">
        <v>47</v>
      </c>
      <c r="D4" s="9">
        <v>14</v>
      </c>
      <c r="E4" s="9">
        <v>9167</v>
      </c>
      <c r="F4" s="9">
        <v>5746</v>
      </c>
      <c r="G4" s="12">
        <f>IF(E4=0,0,F4/E4)</f>
        <v>0.62681357041562125</v>
      </c>
      <c r="H4" s="13">
        <v>43004760</v>
      </c>
      <c r="I4" s="13">
        <v>4554245</v>
      </c>
      <c r="J4" s="13">
        <f>IF(E4=0,0,H4/E4)</f>
        <v>4691.2577724446382</v>
      </c>
      <c r="K4" s="13">
        <f>IF(E4=0,0,I4/E4)</f>
        <v>496.80866150321805</v>
      </c>
    </row>
    <row r="5" spans="1:11" x14ac:dyDescent="0.25">
      <c r="A5" s="9">
        <v>3</v>
      </c>
      <c r="B5" s="10" t="s">
        <v>50</v>
      </c>
      <c r="C5" s="11" t="s">
        <v>47</v>
      </c>
      <c r="D5" s="9">
        <v>13</v>
      </c>
      <c r="E5" s="9">
        <v>8761</v>
      </c>
      <c r="F5" s="9">
        <v>5378</v>
      </c>
      <c r="G5" s="12">
        <f>IF(E5=0,0,F5/E5)</f>
        <v>0.61385686565460562</v>
      </c>
      <c r="H5" s="13">
        <v>35886878</v>
      </c>
      <c r="I5" s="13">
        <v>4262360</v>
      </c>
      <c r="J5" s="13">
        <f>IF(E5=0,0,H5/E5)</f>
        <v>4096.2079671270403</v>
      </c>
      <c r="K5" s="13">
        <f>IF(E5=0,0,I5/E5)</f>
        <v>486.51523798653119</v>
      </c>
    </row>
    <row r="6" spans="1:11" x14ac:dyDescent="0.25">
      <c r="A6" s="9">
        <v>4</v>
      </c>
      <c r="B6" s="10" t="s">
        <v>65</v>
      </c>
      <c r="C6" s="11" t="s">
        <v>54</v>
      </c>
      <c r="D6" s="9">
        <v>10</v>
      </c>
      <c r="E6" s="9">
        <v>4960</v>
      </c>
      <c r="F6" s="9">
        <v>3041</v>
      </c>
      <c r="G6" s="12">
        <f>IF(E6=0,0,F6/E6)</f>
        <v>0.61310483870967747</v>
      </c>
      <c r="H6" s="13">
        <v>10200134</v>
      </c>
      <c r="I6" s="13">
        <v>2407548</v>
      </c>
      <c r="J6" s="13">
        <f>IF(E6=0,0,H6/E6)</f>
        <v>2056.4786290322581</v>
      </c>
      <c r="K6" s="13">
        <f>IF(E6=0,0,I6/E6)</f>
        <v>485.39274193548385</v>
      </c>
    </row>
    <row r="7" spans="1:11" x14ac:dyDescent="0.25">
      <c r="A7" s="9">
        <v>5</v>
      </c>
      <c r="B7" s="10" t="s">
        <v>48</v>
      </c>
      <c r="C7" s="11" t="s">
        <v>41</v>
      </c>
      <c r="D7" s="9">
        <v>12</v>
      </c>
      <c r="E7" s="9">
        <v>10383</v>
      </c>
      <c r="F7" s="9">
        <v>6329</v>
      </c>
      <c r="G7" s="12">
        <f>IF(E7=0,0,F7/E7)</f>
        <v>0.60955407878262546</v>
      </c>
      <c r="H7" s="13">
        <v>11139320</v>
      </c>
      <c r="I7" s="13">
        <v>20755987</v>
      </c>
      <c r="J7" s="13">
        <f>IF(E7=0,0,H7/E7)</f>
        <v>1072.842145815275</v>
      </c>
      <c r="K7" s="13">
        <f>IF(E7=0,0,I7/E7)</f>
        <v>1999.0356351728788</v>
      </c>
    </row>
    <row r="8" spans="1:11" x14ac:dyDescent="0.25">
      <c r="A8" s="9">
        <v>6</v>
      </c>
      <c r="B8" s="10" t="s">
        <v>53</v>
      </c>
      <c r="C8" s="11" t="s">
        <v>54</v>
      </c>
      <c r="D8" s="9">
        <v>13</v>
      </c>
      <c r="E8" s="9">
        <v>8656</v>
      </c>
      <c r="F8" s="9">
        <v>5268</v>
      </c>
      <c r="G8" s="12">
        <f>IF(E8=0,0,F8/E8)</f>
        <v>0.60859519408502771</v>
      </c>
      <c r="H8" s="13">
        <v>26605654</v>
      </c>
      <c r="I8" s="13">
        <v>5125896</v>
      </c>
      <c r="J8" s="13">
        <f>IF(E8=0,0,H8/E8)</f>
        <v>3073.6661275415895</v>
      </c>
      <c r="K8" s="13">
        <f>IF(E8=0,0,I8/E8)</f>
        <v>592.17837338262473</v>
      </c>
    </row>
    <row r="9" spans="1:11" x14ac:dyDescent="0.25">
      <c r="A9" s="9">
        <v>7</v>
      </c>
      <c r="B9" s="10" t="s">
        <v>57</v>
      </c>
      <c r="C9" s="11" t="s">
        <v>54</v>
      </c>
      <c r="D9" s="9">
        <v>12</v>
      </c>
      <c r="E9" s="9">
        <v>7243</v>
      </c>
      <c r="F9" s="9">
        <v>4383</v>
      </c>
      <c r="G9" s="12">
        <f>IF(E9=0,0,F9/E9)</f>
        <v>0.6051359933729118</v>
      </c>
      <c r="H9" s="13">
        <v>19432655</v>
      </c>
      <c r="I9" s="13">
        <v>3702997</v>
      </c>
      <c r="J9" s="13">
        <f>IF(E9=0,0,H9/E9)</f>
        <v>2682.9566477978738</v>
      </c>
      <c r="K9" s="13">
        <f>IF(E9=0,0,I9/E9)</f>
        <v>511.25182935247824</v>
      </c>
    </row>
    <row r="10" spans="1:11" x14ac:dyDescent="0.25">
      <c r="A10" s="9">
        <v>8</v>
      </c>
      <c r="B10" s="10" t="s">
        <v>59</v>
      </c>
      <c r="C10" s="11" t="s">
        <v>47</v>
      </c>
      <c r="D10" s="9">
        <v>10</v>
      </c>
      <c r="E10" s="9">
        <v>4773</v>
      </c>
      <c r="F10" s="9">
        <v>2866</v>
      </c>
      <c r="G10" s="12">
        <f>IF(E10=0,0,F10/E10)</f>
        <v>0.60046092604232137</v>
      </c>
      <c r="H10" s="13">
        <v>13724177</v>
      </c>
      <c r="I10" s="13">
        <v>1976291</v>
      </c>
      <c r="J10" s="13">
        <f>IF(E10=0,0,H10/E10)</f>
        <v>2875.3775403310287</v>
      </c>
      <c r="K10" s="13">
        <f>IF(E10=0,0,I10/E10)</f>
        <v>414.05635868426566</v>
      </c>
    </row>
    <row r="11" spans="1:11" x14ac:dyDescent="0.25">
      <c r="A11" s="9">
        <v>9</v>
      </c>
      <c r="B11" s="10" t="s">
        <v>49</v>
      </c>
      <c r="C11" s="11" t="s">
        <v>43</v>
      </c>
      <c r="D11" s="9">
        <v>12</v>
      </c>
      <c r="E11" s="9">
        <v>10697</v>
      </c>
      <c r="F11" s="9">
        <v>6295</v>
      </c>
      <c r="G11" s="12">
        <f>IF(E11=0,0,F11/E11)</f>
        <v>0.58848275217350654</v>
      </c>
      <c r="H11" s="13">
        <v>21885201</v>
      </c>
      <c r="I11" s="13">
        <v>24184750</v>
      </c>
      <c r="J11" s="13">
        <f>IF(E11=0,0,H11/E11)</f>
        <v>2045.9195101430307</v>
      </c>
      <c r="K11" s="13">
        <f>IF(E11=0,0,I11/E11)</f>
        <v>2260.8909039917735</v>
      </c>
    </row>
    <row r="12" spans="1:11" x14ac:dyDescent="0.25">
      <c r="A12" s="9">
        <v>10</v>
      </c>
      <c r="B12" s="10" t="s">
        <v>81</v>
      </c>
      <c r="C12" s="11" t="s">
        <v>54</v>
      </c>
      <c r="D12" s="9">
        <v>14</v>
      </c>
      <c r="E12" s="9">
        <v>9215</v>
      </c>
      <c r="F12" s="9">
        <v>5322</v>
      </c>
      <c r="G12" s="12">
        <f>IF(E12=0,0,F12/E12)</f>
        <v>0.57753662506782422</v>
      </c>
      <c r="H12" s="13">
        <v>20835072</v>
      </c>
      <c r="I12" s="13">
        <v>5072749</v>
      </c>
      <c r="J12" s="13">
        <f>IF(E12=0,0,H12/E12)</f>
        <v>2260.9953336950625</v>
      </c>
      <c r="K12" s="13">
        <f>IF(E12=0,0,I12/E12)</f>
        <v>550.48822571893652</v>
      </c>
    </row>
    <row r="13" spans="1:11" x14ac:dyDescent="0.25">
      <c r="A13" s="9">
        <v>11</v>
      </c>
      <c r="B13" s="10" t="s">
        <v>52</v>
      </c>
      <c r="C13" s="11" t="s">
        <v>47</v>
      </c>
      <c r="D13" s="9">
        <v>12</v>
      </c>
      <c r="E13" s="9">
        <v>7355</v>
      </c>
      <c r="F13" s="9">
        <v>4184</v>
      </c>
      <c r="G13" s="12">
        <f>IF(E13=0,0,F13/E13)</f>
        <v>0.56886471787899384</v>
      </c>
      <c r="H13" s="13">
        <v>25828812</v>
      </c>
      <c r="I13" s="13">
        <v>3585181</v>
      </c>
      <c r="J13" s="13">
        <f>IF(E13=0,0,H13/E13)</f>
        <v>3511.7351461590756</v>
      </c>
      <c r="K13" s="13">
        <f>IF(E13=0,0,I13/E13)</f>
        <v>487.44813052345341</v>
      </c>
    </row>
    <row r="14" spans="1:11" x14ac:dyDescent="0.25">
      <c r="A14" s="9">
        <v>12</v>
      </c>
      <c r="B14" s="10" t="s">
        <v>42</v>
      </c>
      <c r="C14" s="11" t="s">
        <v>43</v>
      </c>
      <c r="D14" s="9">
        <v>14</v>
      </c>
      <c r="E14" s="9">
        <v>10854</v>
      </c>
      <c r="F14" s="9">
        <v>6162</v>
      </c>
      <c r="G14" s="12">
        <f>IF(E14=0,0,F14/E14)</f>
        <v>0.5677169707020453</v>
      </c>
      <c r="H14" s="13">
        <v>17409338</v>
      </c>
      <c r="I14" s="13">
        <v>40765746</v>
      </c>
      <c r="J14" s="13">
        <f>IF(E14=0,0,H14/E14)</f>
        <v>1603.9559609360604</v>
      </c>
      <c r="K14" s="13">
        <f>IF(E14=0,0,I14/E14)</f>
        <v>3755.8269762299615</v>
      </c>
    </row>
    <row r="15" spans="1:11" x14ac:dyDescent="0.25">
      <c r="A15" s="9">
        <v>13</v>
      </c>
      <c r="B15" s="10" t="s">
        <v>58</v>
      </c>
      <c r="C15" s="11" t="s">
        <v>43</v>
      </c>
      <c r="D15" s="9">
        <v>10</v>
      </c>
      <c r="E15" s="9">
        <v>10686</v>
      </c>
      <c r="F15" s="9">
        <v>6001</v>
      </c>
      <c r="G15" s="12">
        <f>IF(E15=0,0,F15/E15)</f>
        <v>0.56157589369268202</v>
      </c>
      <c r="H15" s="13">
        <v>10330514</v>
      </c>
      <c r="I15" s="13">
        <v>27836019</v>
      </c>
      <c r="J15" s="13">
        <f>IF(E15=0,0,H15/E15)</f>
        <v>966.73348306195021</v>
      </c>
      <c r="K15" s="13">
        <f>IF(E15=0,0,I15/E15)</f>
        <v>2604.9053902302076</v>
      </c>
    </row>
    <row r="16" spans="1:11" x14ac:dyDescent="0.25">
      <c r="A16" s="9">
        <v>14</v>
      </c>
      <c r="B16" s="10" t="s">
        <v>40</v>
      </c>
      <c r="C16" s="11" t="s">
        <v>41</v>
      </c>
      <c r="D16" s="9">
        <v>14</v>
      </c>
      <c r="E16" s="9">
        <v>10677</v>
      </c>
      <c r="F16" s="9">
        <v>5982</v>
      </c>
      <c r="G16" s="12">
        <f>IF(E16=0,0,F16/E16)</f>
        <v>0.56026973869064345</v>
      </c>
      <c r="H16" s="13">
        <v>21160701</v>
      </c>
      <c r="I16" s="13">
        <v>30259541</v>
      </c>
      <c r="J16" s="13">
        <f>IF(E16=0,0,H16/E16)</f>
        <v>1981.8957572351785</v>
      </c>
      <c r="K16" s="13">
        <f>IF(E16=0,0,I16/E16)</f>
        <v>2834.0864475039807</v>
      </c>
    </row>
    <row r="17" spans="1:11" x14ac:dyDescent="0.25">
      <c r="A17" s="9">
        <v>15</v>
      </c>
      <c r="B17" s="10" t="s">
        <v>63</v>
      </c>
      <c r="C17" s="11" t="s">
        <v>47</v>
      </c>
      <c r="D17" s="9">
        <v>11</v>
      </c>
      <c r="E17" s="9">
        <v>5876</v>
      </c>
      <c r="F17" s="9">
        <v>3163</v>
      </c>
      <c r="G17" s="12">
        <f>IF(E17=0,0,F17/E17)</f>
        <v>0.53829135466303613</v>
      </c>
      <c r="H17" s="13">
        <v>17493328</v>
      </c>
      <c r="I17" s="13">
        <v>2875920</v>
      </c>
      <c r="J17" s="13">
        <f>IF(E17=0,0,H17/E17)</f>
        <v>2977.0810074880869</v>
      </c>
      <c r="K17" s="13">
        <f>IF(E17=0,0,I17/E17)</f>
        <v>489.43498978897208</v>
      </c>
    </row>
    <row r="18" spans="1:11" x14ac:dyDescent="0.25">
      <c r="A18" s="9">
        <v>16</v>
      </c>
      <c r="B18" s="10" t="s">
        <v>45</v>
      </c>
      <c r="C18" s="11" t="s">
        <v>43</v>
      </c>
      <c r="D18" s="9">
        <v>13</v>
      </c>
      <c r="E18" s="9">
        <v>10626</v>
      </c>
      <c r="F18" s="9">
        <v>5682</v>
      </c>
      <c r="G18" s="12">
        <f>IF(E18=0,0,F18/E18)</f>
        <v>0.53472614342179559</v>
      </c>
      <c r="H18" s="13">
        <v>14497441</v>
      </c>
      <c r="I18" s="13">
        <v>36619449</v>
      </c>
      <c r="J18" s="13">
        <f>IF(E18=0,0,H18/E18)</f>
        <v>1364.336627140975</v>
      </c>
      <c r="K18" s="13">
        <f>IF(E18=0,0,I18/E18)</f>
        <v>3446.2120271033314</v>
      </c>
    </row>
    <row r="19" spans="1:11" x14ac:dyDescent="0.25">
      <c r="A19" s="9">
        <v>17</v>
      </c>
      <c r="B19" s="10" t="s">
        <v>56</v>
      </c>
      <c r="C19" s="11" t="s">
        <v>41</v>
      </c>
      <c r="D19" s="9">
        <v>10</v>
      </c>
      <c r="E19" s="9">
        <v>10073</v>
      </c>
      <c r="F19" s="9">
        <v>5336</v>
      </c>
      <c r="G19" s="12">
        <f>IF(E19=0,0,F19/E19)</f>
        <v>0.52973294946887717</v>
      </c>
      <c r="H19" s="13">
        <v>14600223</v>
      </c>
      <c r="I19" s="13">
        <v>21944115</v>
      </c>
      <c r="J19" s="13">
        <f>IF(E19=0,0,H19/E19)</f>
        <v>1449.4413779410304</v>
      </c>
      <c r="K19" s="13">
        <f>IF(E19=0,0,I19/E19)</f>
        <v>2178.5083887620372</v>
      </c>
    </row>
    <row r="20" spans="1:11" x14ac:dyDescent="0.25">
      <c r="A20" s="9">
        <v>18</v>
      </c>
      <c r="B20" s="10" t="s">
        <v>44</v>
      </c>
      <c r="C20" s="11" t="s">
        <v>41</v>
      </c>
      <c r="D20" s="9">
        <v>13</v>
      </c>
      <c r="E20" s="9">
        <v>10596</v>
      </c>
      <c r="F20" s="9">
        <v>5441</v>
      </c>
      <c r="G20" s="12">
        <f>IF(E20=0,0,F20/E20)</f>
        <v>0.51349565873914682</v>
      </c>
      <c r="H20" s="13">
        <v>18195734</v>
      </c>
      <c r="I20" s="13">
        <v>29378047</v>
      </c>
      <c r="J20" s="13">
        <f>IF(E20=0,0,H20/E20)</f>
        <v>1717.2266893167232</v>
      </c>
      <c r="K20" s="13">
        <f>IF(E20=0,0,I20/E20)</f>
        <v>2772.5601170252926</v>
      </c>
    </row>
    <row r="21" spans="1:11" x14ac:dyDescent="0.25">
      <c r="A21" s="9">
        <v>19</v>
      </c>
      <c r="B21" s="10" t="s">
        <v>64</v>
      </c>
      <c r="C21" s="11" t="s">
        <v>47</v>
      </c>
      <c r="D21" s="9">
        <v>9</v>
      </c>
      <c r="E21" s="9">
        <v>3260</v>
      </c>
      <c r="F21" s="9">
        <v>1651</v>
      </c>
      <c r="G21" s="12">
        <f>IF(E21=0,0,F21/E21)</f>
        <v>0.50644171779141101</v>
      </c>
      <c r="H21" s="13">
        <v>7764063</v>
      </c>
      <c r="I21" s="13">
        <v>1473020</v>
      </c>
      <c r="J21" s="13">
        <f>IF(E21=0,0,H21/E21)</f>
        <v>2381.6144171779142</v>
      </c>
      <c r="K21" s="13">
        <f>IF(E21=0,0,I21/E21)</f>
        <v>451.84662576687117</v>
      </c>
    </row>
    <row r="22" spans="1:11" x14ac:dyDescent="0.25">
      <c r="A22" s="9">
        <v>20</v>
      </c>
      <c r="B22" s="10" t="s">
        <v>68</v>
      </c>
      <c r="C22" s="11" t="s">
        <v>54</v>
      </c>
      <c r="D22" s="9">
        <v>9</v>
      </c>
      <c r="E22" s="9">
        <v>3300</v>
      </c>
      <c r="F22" s="9">
        <v>1599</v>
      </c>
      <c r="G22" s="12">
        <f>IF(E22=0,0,F22/E22)</f>
        <v>0.48454545454545456</v>
      </c>
      <c r="H22" s="13">
        <v>6143174</v>
      </c>
      <c r="I22" s="13">
        <v>1829679</v>
      </c>
      <c r="J22" s="13">
        <f>IF(E22=0,0,H22/E22)</f>
        <v>1861.5678787878787</v>
      </c>
      <c r="K22" s="13">
        <f>IF(E22=0,0,I22/E22)</f>
        <v>554.44818181818187</v>
      </c>
    </row>
    <row r="23" spans="1:11" x14ac:dyDescent="0.25">
      <c r="A23" s="9">
        <v>21</v>
      </c>
      <c r="B23" s="10" t="s">
        <v>51</v>
      </c>
      <c r="C23" s="11" t="s">
        <v>41</v>
      </c>
      <c r="D23" s="9">
        <v>11</v>
      </c>
      <c r="E23" s="9">
        <v>10378</v>
      </c>
      <c r="F23" s="9">
        <v>4767</v>
      </c>
      <c r="G23" s="12">
        <f>IF(E23=0,0,F23/E23)</f>
        <v>0.45933705916361534</v>
      </c>
      <c r="H23" s="13">
        <v>15232508</v>
      </c>
      <c r="I23" s="13">
        <v>24424782</v>
      </c>
      <c r="J23" s="13">
        <f>IF(E23=0,0,H23/E23)</f>
        <v>1467.7691269994218</v>
      </c>
      <c r="K23" s="13">
        <f>IF(E23=0,0,I23/E23)</f>
        <v>2353.5153208710735</v>
      </c>
    </row>
    <row r="24" spans="1:11" x14ac:dyDescent="0.25">
      <c r="A24" s="9">
        <v>22</v>
      </c>
      <c r="B24" s="10" t="s">
        <v>67</v>
      </c>
      <c r="C24" s="11" t="s">
        <v>47</v>
      </c>
      <c r="D24" s="9">
        <v>8</v>
      </c>
      <c r="E24" s="9">
        <v>2307</v>
      </c>
      <c r="F24" s="9">
        <v>1033</v>
      </c>
      <c r="G24" s="12">
        <f>IF(E24=0,0,F24/E24)</f>
        <v>0.44776766363242304</v>
      </c>
      <c r="H24" s="13">
        <v>4908525</v>
      </c>
      <c r="I24" s="13">
        <v>1042229</v>
      </c>
      <c r="J24" s="13">
        <f>IF(E24=0,0,H24/E24)</f>
        <v>2127.665799739922</v>
      </c>
      <c r="K24" s="13">
        <f>IF(E24=0,0,I24/E24)</f>
        <v>451.76809709579538</v>
      </c>
    </row>
    <row r="25" spans="1:11" x14ac:dyDescent="0.25">
      <c r="A25" s="9">
        <v>23</v>
      </c>
      <c r="B25" s="10" t="s">
        <v>55</v>
      </c>
      <c r="C25" s="11" t="s">
        <v>43</v>
      </c>
      <c r="D25" s="9">
        <v>11</v>
      </c>
      <c r="E25" s="9">
        <v>10830</v>
      </c>
      <c r="F25" s="9">
        <v>4788</v>
      </c>
      <c r="G25" s="12">
        <f>IF(E25=0,0,F25/E25)</f>
        <v>0.44210526315789472</v>
      </c>
      <c r="H25" s="13">
        <v>11697955</v>
      </c>
      <c r="I25" s="13">
        <v>33256347</v>
      </c>
      <c r="J25" s="13">
        <f>IF(E25=0,0,H25/E25)</f>
        <v>1080.1435826408126</v>
      </c>
      <c r="K25" s="13">
        <f>IF(E25=0,0,I25/E25)</f>
        <v>3070.7614958448753</v>
      </c>
    </row>
    <row r="26" spans="1:11" x14ac:dyDescent="0.25">
      <c r="A26" s="9">
        <v>24</v>
      </c>
      <c r="B26" s="10" t="s">
        <v>73</v>
      </c>
      <c r="C26" s="11" t="s">
        <v>54</v>
      </c>
      <c r="D26" s="9">
        <v>8</v>
      </c>
      <c r="E26" s="9">
        <v>2336</v>
      </c>
      <c r="F26" s="9">
        <v>1023</v>
      </c>
      <c r="G26" s="12">
        <f>IF(E26=0,0,F26/E26)</f>
        <v>0.43792808219178081</v>
      </c>
      <c r="H26" s="13">
        <v>3759045</v>
      </c>
      <c r="I26" s="13">
        <v>1240094</v>
      </c>
      <c r="J26" s="13">
        <f>IF(E26=0,0,H26/E26)</f>
        <v>1609.1802226027398</v>
      </c>
      <c r="K26" s="13">
        <f>IF(E26=0,0,I26/E26)</f>
        <v>530.86215753424653</v>
      </c>
    </row>
    <row r="27" spans="1:11" x14ac:dyDescent="0.25">
      <c r="A27" s="9">
        <v>25</v>
      </c>
      <c r="B27" s="10" t="s">
        <v>69</v>
      </c>
      <c r="C27" s="11" t="s">
        <v>47</v>
      </c>
      <c r="D27" s="9">
        <v>7</v>
      </c>
      <c r="E27" s="9">
        <v>1323</v>
      </c>
      <c r="F27" s="9">
        <v>575</v>
      </c>
      <c r="G27" s="12">
        <f>IF(E27=0,0,F27/E27)</f>
        <v>0.43461829176114891</v>
      </c>
      <c r="H27" s="13">
        <v>2912917</v>
      </c>
      <c r="I27" s="13">
        <v>609659</v>
      </c>
      <c r="J27" s="13">
        <f>IF(E27=0,0,H27/E27)</f>
        <v>2201.7513227513227</v>
      </c>
      <c r="K27" s="13">
        <f>IF(E27=0,0,I27/E27)</f>
        <v>460.81557067271353</v>
      </c>
    </row>
    <row r="28" spans="1:11" x14ac:dyDescent="0.25">
      <c r="A28" s="9">
        <v>26</v>
      </c>
      <c r="B28" s="10" t="s">
        <v>62</v>
      </c>
      <c r="C28" s="11" t="s">
        <v>43</v>
      </c>
      <c r="D28" s="9">
        <v>9</v>
      </c>
      <c r="E28" s="9">
        <v>10737</v>
      </c>
      <c r="F28" s="9">
        <v>4619</v>
      </c>
      <c r="G28" s="12">
        <f>IF(E28=0,0,F28/E28)</f>
        <v>0.43019465400018625</v>
      </c>
      <c r="H28" s="13">
        <v>8233234</v>
      </c>
      <c r="I28" s="13">
        <v>25880095</v>
      </c>
      <c r="J28" s="13">
        <f>IF(E28=0,0,H28/E28)</f>
        <v>766.80953711465031</v>
      </c>
      <c r="K28" s="13">
        <f>IF(E28=0,0,I28/E28)</f>
        <v>2410.365558349632</v>
      </c>
    </row>
    <row r="29" spans="1:11" x14ac:dyDescent="0.25">
      <c r="A29" s="9">
        <v>27</v>
      </c>
      <c r="B29" s="10" t="s">
        <v>61</v>
      </c>
      <c r="C29" s="11" t="s">
        <v>41</v>
      </c>
      <c r="D29" s="9">
        <v>9</v>
      </c>
      <c r="E29" s="9">
        <v>9770</v>
      </c>
      <c r="F29" s="9">
        <v>4173</v>
      </c>
      <c r="G29" s="12">
        <f>IF(E29=0,0,F29/E29)</f>
        <v>0.42712384851586488</v>
      </c>
      <c r="H29" s="13">
        <v>10473783</v>
      </c>
      <c r="I29" s="13">
        <v>18265512</v>
      </c>
      <c r="J29" s="13">
        <f>IF(E29=0,0,H29/E29)</f>
        <v>1072.0351074718526</v>
      </c>
      <c r="K29" s="13">
        <f>IF(E29=0,0,I29/E29)</f>
        <v>1869.5508700102355</v>
      </c>
    </row>
    <row r="30" spans="1:11" x14ac:dyDescent="0.25">
      <c r="A30" s="9">
        <v>28</v>
      </c>
      <c r="B30" s="10" t="s">
        <v>75</v>
      </c>
      <c r="C30" s="11" t="s">
        <v>54</v>
      </c>
      <c r="D30" s="9">
        <v>7</v>
      </c>
      <c r="E30" s="9">
        <v>1348</v>
      </c>
      <c r="F30" s="9">
        <v>572</v>
      </c>
      <c r="G30" s="12">
        <f>IF(E30=0,0,F30/E30)</f>
        <v>0.42433234421364985</v>
      </c>
      <c r="H30" s="13">
        <v>2208054</v>
      </c>
      <c r="I30" s="13">
        <v>684839</v>
      </c>
      <c r="J30" s="13">
        <f>IF(E30=0,0,H30/E30)</f>
        <v>1638.0222551928784</v>
      </c>
      <c r="K30" s="13">
        <f>IF(E30=0,0,I30/E30)</f>
        <v>508.04080118694361</v>
      </c>
    </row>
    <row r="31" spans="1:11" x14ac:dyDescent="0.25">
      <c r="A31" s="9">
        <v>49</v>
      </c>
      <c r="B31" s="10" t="s">
        <v>88</v>
      </c>
      <c r="C31" s="11" t="s">
        <v>47</v>
      </c>
      <c r="D31" s="9">
        <v>3</v>
      </c>
      <c r="E31" s="9">
        <v>19</v>
      </c>
      <c r="F31" s="9">
        <v>8</v>
      </c>
      <c r="G31" s="12">
        <f>IF(E31=0,0,F31/E31)</f>
        <v>0.42105263157894735</v>
      </c>
      <c r="H31" s="13">
        <v>42393</v>
      </c>
      <c r="I31" s="13">
        <v>48095</v>
      </c>
      <c r="J31" s="13">
        <f>IF(E31=0,0,H31/E31)</f>
        <v>2231.2105263157896</v>
      </c>
      <c r="K31" s="13">
        <f>IF(E31=0,0,I31/E31)</f>
        <v>2531.3157894736842</v>
      </c>
    </row>
    <row r="32" spans="1:11" x14ac:dyDescent="0.25">
      <c r="A32" s="9">
        <v>29</v>
      </c>
      <c r="B32" s="10" t="s">
        <v>77</v>
      </c>
      <c r="C32" s="11" t="s">
        <v>47</v>
      </c>
      <c r="D32" s="9">
        <v>6</v>
      </c>
      <c r="E32" s="9">
        <v>718</v>
      </c>
      <c r="F32" s="9">
        <v>302</v>
      </c>
      <c r="G32" s="12">
        <f>IF(E32=0,0,F32/E32)</f>
        <v>0.42061281337047352</v>
      </c>
      <c r="H32" s="13">
        <v>1345393</v>
      </c>
      <c r="I32" s="13">
        <v>312318</v>
      </c>
      <c r="J32" s="13">
        <f>IF(E32=0,0,H32/E32)</f>
        <v>1873.8064066852369</v>
      </c>
      <c r="K32" s="13">
        <f>IF(E32=0,0,I32/E32)</f>
        <v>434.98328690807801</v>
      </c>
    </row>
    <row r="33" spans="1:11" x14ac:dyDescent="0.25">
      <c r="A33" s="9">
        <v>30</v>
      </c>
      <c r="B33" s="10" t="s">
        <v>70</v>
      </c>
      <c r="C33" s="11" t="s">
        <v>43</v>
      </c>
      <c r="D33" s="9">
        <v>8</v>
      </c>
      <c r="E33" s="9">
        <v>10162</v>
      </c>
      <c r="F33" s="9">
        <v>4076</v>
      </c>
      <c r="G33" s="12">
        <f>IF(E33=0,0,F33/E33)</f>
        <v>0.40110214524699861</v>
      </c>
      <c r="H33" s="13">
        <v>7082250</v>
      </c>
      <c r="I33" s="13">
        <v>21725092</v>
      </c>
      <c r="J33" s="13">
        <f>IF(E33=0,0,H33/E33)</f>
        <v>696.93465853178509</v>
      </c>
      <c r="K33" s="13">
        <f>IF(E33=0,0,I33/E33)</f>
        <v>2137.8756150364102</v>
      </c>
    </row>
    <row r="34" spans="1:11" x14ac:dyDescent="0.25">
      <c r="A34" s="9">
        <v>47</v>
      </c>
      <c r="B34" s="10" t="s">
        <v>76</v>
      </c>
      <c r="C34" s="11" t="s">
        <v>47</v>
      </c>
      <c r="D34" s="9">
        <v>4</v>
      </c>
      <c r="E34" s="9">
        <v>109</v>
      </c>
      <c r="F34" s="9">
        <v>43</v>
      </c>
      <c r="G34" s="12">
        <f>IF(E34=0,0,F34/E34)</f>
        <v>0.39449541284403672</v>
      </c>
      <c r="H34" s="13">
        <v>228440</v>
      </c>
      <c r="I34" s="13">
        <v>87794</v>
      </c>
      <c r="J34" s="13">
        <f>IF(E34=0,0,H34/E34)</f>
        <v>2095.7798165137615</v>
      </c>
      <c r="K34" s="13">
        <f>IF(E34=0,0,I34/E34)</f>
        <v>805.44954128440372</v>
      </c>
    </row>
    <row r="35" spans="1:11" x14ac:dyDescent="0.25">
      <c r="A35" s="9">
        <v>31</v>
      </c>
      <c r="B35" s="10" t="s">
        <v>66</v>
      </c>
      <c r="C35" s="11" t="s">
        <v>41</v>
      </c>
      <c r="D35" s="9">
        <v>8</v>
      </c>
      <c r="E35" s="9">
        <v>8032</v>
      </c>
      <c r="F35" s="9">
        <v>3156</v>
      </c>
      <c r="G35" s="12">
        <f>IF(E35=0,0,F35/E35)</f>
        <v>0.39292828685258963</v>
      </c>
      <c r="H35" s="13">
        <v>7519539</v>
      </c>
      <c r="I35" s="13">
        <v>13842904</v>
      </c>
      <c r="J35" s="13">
        <f>IF(E35=0,0,H35/E35)</f>
        <v>936.19758466135454</v>
      </c>
      <c r="K35" s="13">
        <f>IF(E35=0,0,I35/E35)</f>
        <v>1723.4691235059761</v>
      </c>
    </row>
    <row r="36" spans="1:11" x14ac:dyDescent="0.25">
      <c r="A36" s="9">
        <v>32</v>
      </c>
      <c r="B36" s="10" t="s">
        <v>72</v>
      </c>
      <c r="C36" s="11" t="s">
        <v>43</v>
      </c>
      <c r="D36" s="9">
        <v>7</v>
      </c>
      <c r="E36" s="9">
        <v>10110</v>
      </c>
      <c r="F36" s="9">
        <v>3911</v>
      </c>
      <c r="G36" s="12">
        <f>IF(E36=0,0,F36/E36)</f>
        <v>0.38684470820969336</v>
      </c>
      <c r="H36" s="13">
        <v>7935810</v>
      </c>
      <c r="I36" s="13">
        <v>19283025</v>
      </c>
      <c r="J36" s="13">
        <f>IF(E36=0,0,H36/E36)</f>
        <v>784.946587537092</v>
      </c>
      <c r="K36" s="13">
        <f>IF(E36=0,0,I36/E36)</f>
        <v>1907.3219584569733</v>
      </c>
    </row>
    <row r="37" spans="1:11" x14ac:dyDescent="0.25">
      <c r="A37" s="9">
        <v>33</v>
      </c>
      <c r="B37" s="10" t="s">
        <v>71</v>
      </c>
      <c r="C37" s="11" t="s">
        <v>41</v>
      </c>
      <c r="D37" s="9">
        <v>7</v>
      </c>
      <c r="E37" s="9">
        <v>6499</v>
      </c>
      <c r="F37" s="9">
        <v>2448</v>
      </c>
      <c r="G37" s="12">
        <f>IF(E37=0,0,F37/E37)</f>
        <v>0.37667333435913219</v>
      </c>
      <c r="H37" s="13">
        <v>5770975</v>
      </c>
      <c r="I37" s="13">
        <v>9581812</v>
      </c>
      <c r="J37" s="13">
        <f>IF(E37=0,0,H37/E37)</f>
        <v>887.97891983382056</v>
      </c>
      <c r="K37" s="13">
        <f>IF(E37=0,0,I37/E37)</f>
        <v>1474.3517464225265</v>
      </c>
    </row>
    <row r="38" spans="1:11" x14ac:dyDescent="0.25">
      <c r="A38" s="9">
        <v>34</v>
      </c>
      <c r="B38" s="10" t="s">
        <v>84</v>
      </c>
      <c r="C38" s="11" t="s">
        <v>54</v>
      </c>
      <c r="D38" s="9">
        <v>6</v>
      </c>
      <c r="E38" s="9">
        <v>741</v>
      </c>
      <c r="F38" s="9">
        <v>277</v>
      </c>
      <c r="G38" s="12">
        <f>IF(E38=0,0,F38/E38)</f>
        <v>0.37381916329284748</v>
      </c>
      <c r="H38" s="13">
        <v>992516</v>
      </c>
      <c r="I38" s="13">
        <v>386704</v>
      </c>
      <c r="J38" s="13">
        <f>IF(E38=0,0,H38/E38)</f>
        <v>1339.4278002699054</v>
      </c>
      <c r="K38" s="13">
        <f>IF(E38=0,0,I38/E38)</f>
        <v>521.86774628879891</v>
      </c>
    </row>
    <row r="39" spans="1:11" x14ac:dyDescent="0.25">
      <c r="A39" s="9">
        <v>35</v>
      </c>
      <c r="B39" s="10" t="s">
        <v>78</v>
      </c>
      <c r="C39" s="11" t="s">
        <v>43</v>
      </c>
      <c r="D39" s="9">
        <v>5</v>
      </c>
      <c r="E39" s="9">
        <v>7305</v>
      </c>
      <c r="F39" s="9">
        <v>2667</v>
      </c>
      <c r="G39" s="12">
        <f>IF(E39=0,0,F39/E39)</f>
        <v>0.36509240246406571</v>
      </c>
      <c r="H39" s="13">
        <v>3703416</v>
      </c>
      <c r="I39" s="13">
        <v>10509394</v>
      </c>
      <c r="J39" s="13">
        <f>IF(E39=0,0,H39/E39)</f>
        <v>506.97002053388093</v>
      </c>
      <c r="K39" s="13">
        <f>IF(E39=0,0,I39/E39)</f>
        <v>1438.6576317590691</v>
      </c>
    </row>
    <row r="40" spans="1:11" x14ac:dyDescent="0.25">
      <c r="A40" s="9">
        <v>36</v>
      </c>
      <c r="B40" s="10" t="s">
        <v>82</v>
      </c>
      <c r="C40" s="11" t="s">
        <v>43</v>
      </c>
      <c r="D40" s="9">
        <v>6</v>
      </c>
      <c r="E40" s="9">
        <v>9550</v>
      </c>
      <c r="F40" s="9">
        <v>3309</v>
      </c>
      <c r="G40" s="12">
        <f>IF(E40=0,0,F40/E40)</f>
        <v>0.34649214659685862</v>
      </c>
      <c r="H40" s="13">
        <v>6021183</v>
      </c>
      <c r="I40" s="13">
        <v>16384207</v>
      </c>
      <c r="J40" s="13">
        <f>IF(E40=0,0,H40/E40)</f>
        <v>630.49036649214656</v>
      </c>
      <c r="K40" s="13">
        <f>IF(E40=0,0,I40/E40)</f>
        <v>1715.6237696335079</v>
      </c>
    </row>
    <row r="41" spans="1:11" x14ac:dyDescent="0.25">
      <c r="A41" s="9">
        <v>37</v>
      </c>
      <c r="B41" s="10" t="s">
        <v>74</v>
      </c>
      <c r="C41" s="11" t="s">
        <v>47</v>
      </c>
      <c r="D41" s="9">
        <v>5</v>
      </c>
      <c r="E41" s="9">
        <v>422</v>
      </c>
      <c r="F41" s="9">
        <v>146</v>
      </c>
      <c r="G41" s="12">
        <f>IF(E41=0,0,F41/E41)</f>
        <v>0.34597156398104267</v>
      </c>
      <c r="H41" s="13">
        <v>587312</v>
      </c>
      <c r="I41" s="13">
        <v>209637</v>
      </c>
      <c r="J41" s="13">
        <f>IF(E41=0,0,H41/E41)</f>
        <v>1391.7345971563982</v>
      </c>
      <c r="K41" s="13">
        <f>IF(E41=0,0,I41/E41)</f>
        <v>496.77014218009481</v>
      </c>
    </row>
    <row r="42" spans="1:11" x14ac:dyDescent="0.25">
      <c r="A42" s="9">
        <v>38</v>
      </c>
      <c r="B42" s="10" t="s">
        <v>83</v>
      </c>
      <c r="C42" s="11" t="s">
        <v>41</v>
      </c>
      <c r="D42" s="9">
        <v>6</v>
      </c>
      <c r="E42" s="9">
        <v>4106</v>
      </c>
      <c r="F42" s="9">
        <v>1394</v>
      </c>
      <c r="G42" s="12">
        <f>IF(E42=0,0,F42/E42)</f>
        <v>0.33950316609839259</v>
      </c>
      <c r="H42" s="13">
        <v>2587227</v>
      </c>
      <c r="I42" s="13">
        <v>5386169</v>
      </c>
      <c r="J42" s="13">
        <f>IF(E42=0,0,H42/E42)</f>
        <v>630.10886507549924</v>
      </c>
      <c r="K42" s="13">
        <f>IF(E42=0,0,I42/E42)</f>
        <v>1311.7800779347297</v>
      </c>
    </row>
    <row r="43" spans="1:11" x14ac:dyDescent="0.25">
      <c r="A43" s="9">
        <v>46</v>
      </c>
      <c r="B43" s="10" t="s">
        <v>86</v>
      </c>
      <c r="C43" s="11" t="s">
        <v>54</v>
      </c>
      <c r="D43" s="9">
        <v>4</v>
      </c>
      <c r="E43" s="9">
        <v>123</v>
      </c>
      <c r="F43" s="9">
        <v>41</v>
      </c>
      <c r="G43" s="12">
        <f>IF(E43=0,0,F43/E43)</f>
        <v>0.33333333333333331</v>
      </c>
      <c r="H43" s="13">
        <v>196571</v>
      </c>
      <c r="I43" s="13">
        <v>92461</v>
      </c>
      <c r="J43" s="13">
        <f>IF(E43=0,0,H43/E43)</f>
        <v>1598.1382113821139</v>
      </c>
      <c r="K43" s="13">
        <f>IF(E43=0,0,I43/E43)</f>
        <v>751.71544715447158</v>
      </c>
    </row>
    <row r="44" spans="1:11" x14ac:dyDescent="0.25">
      <c r="A44" s="9">
        <v>39</v>
      </c>
      <c r="B44" s="10" t="s">
        <v>79</v>
      </c>
      <c r="C44" s="11" t="s">
        <v>41</v>
      </c>
      <c r="D44" s="9">
        <v>5</v>
      </c>
      <c r="E44" s="9">
        <v>2348</v>
      </c>
      <c r="F44" s="9">
        <v>751</v>
      </c>
      <c r="G44" s="12">
        <f>IF(E44=0,0,F44/E44)</f>
        <v>0.31984667802385008</v>
      </c>
      <c r="H44" s="13">
        <v>1111424</v>
      </c>
      <c r="I44" s="13">
        <v>2478559</v>
      </c>
      <c r="J44" s="13">
        <f>IF(E44=0,0,H44/E44)</f>
        <v>473.34923339011925</v>
      </c>
      <c r="K44" s="13">
        <f>IF(E44=0,0,I44/E44)</f>
        <v>1055.6043441226575</v>
      </c>
    </row>
    <row r="45" spans="1:11" x14ac:dyDescent="0.25">
      <c r="A45" s="9">
        <v>40</v>
      </c>
      <c r="B45" s="10" t="s">
        <v>80</v>
      </c>
      <c r="C45" s="11" t="s">
        <v>54</v>
      </c>
      <c r="D45" s="9">
        <v>5</v>
      </c>
      <c r="E45" s="9">
        <v>411</v>
      </c>
      <c r="F45" s="9">
        <v>131</v>
      </c>
      <c r="G45" s="12">
        <f>IF(E45=0,0,F45/E45)</f>
        <v>0.31873479318734793</v>
      </c>
      <c r="H45" s="13">
        <v>431348</v>
      </c>
      <c r="I45" s="13">
        <v>216742</v>
      </c>
      <c r="J45" s="13">
        <f>IF(E45=0,0,H45/E45)</f>
        <v>1049.508515815085</v>
      </c>
      <c r="K45" s="13">
        <f>IF(E45=0,0,I45/E45)</f>
        <v>527.35279805352798</v>
      </c>
    </row>
    <row r="46" spans="1:11" x14ac:dyDescent="0.25">
      <c r="A46" s="9">
        <v>41</v>
      </c>
      <c r="B46" s="10" t="s">
        <v>87</v>
      </c>
      <c r="C46" s="11" t="s">
        <v>43</v>
      </c>
      <c r="D46" s="9">
        <v>4</v>
      </c>
      <c r="E46" s="9">
        <v>3978</v>
      </c>
      <c r="F46" s="9">
        <v>1214</v>
      </c>
      <c r="G46" s="12">
        <f>IF(E46=0,0,F46/E46)</f>
        <v>0.30517848164906991</v>
      </c>
      <c r="H46" s="13">
        <v>1986533</v>
      </c>
      <c r="I46" s="13">
        <v>5019911</v>
      </c>
      <c r="J46" s="13">
        <f>IF(E46=0,0,H46/E46)</f>
        <v>499.37983911513322</v>
      </c>
      <c r="K46" s="13">
        <f>IF(E46=0,0,I46/E46)</f>
        <v>1261.9183006535948</v>
      </c>
    </row>
    <row r="47" spans="1:11" x14ac:dyDescent="0.25">
      <c r="A47" s="9">
        <v>42</v>
      </c>
      <c r="B47" s="10" t="s">
        <v>85</v>
      </c>
      <c r="C47" s="11" t="s">
        <v>41</v>
      </c>
      <c r="D47" s="9">
        <v>4</v>
      </c>
      <c r="E47" s="9">
        <v>1044</v>
      </c>
      <c r="F47" s="9">
        <v>308</v>
      </c>
      <c r="G47" s="12">
        <f>IF(E47=0,0,F47/E47)</f>
        <v>0.2950191570881226</v>
      </c>
      <c r="H47" s="13">
        <v>519355</v>
      </c>
      <c r="I47" s="13">
        <v>973742</v>
      </c>
      <c r="J47" s="13">
        <f>IF(E47=0,0,H47/E47)</f>
        <v>497.46647509578543</v>
      </c>
      <c r="K47" s="13">
        <f>IF(E47=0,0,I47/E47)</f>
        <v>932.70306513409957</v>
      </c>
    </row>
    <row r="48" spans="1:11" x14ac:dyDescent="0.25">
      <c r="A48" s="9">
        <v>43</v>
      </c>
      <c r="B48" s="10" t="s">
        <v>90</v>
      </c>
      <c r="C48" s="11" t="s">
        <v>43</v>
      </c>
      <c r="D48" s="9">
        <v>3</v>
      </c>
      <c r="E48" s="9">
        <v>1649</v>
      </c>
      <c r="F48" s="9">
        <v>448</v>
      </c>
      <c r="G48" s="12">
        <f>IF(E48=0,0,F48/E48)</f>
        <v>0.27167980594299573</v>
      </c>
      <c r="H48" s="13">
        <v>369410</v>
      </c>
      <c r="I48" s="13">
        <v>1617408</v>
      </c>
      <c r="J48" s="13">
        <f>IF(E48=0,0,H48/E48)</f>
        <v>224.02061855670104</v>
      </c>
      <c r="K48" s="13">
        <f>IF(E48=0,0,I48/E48)</f>
        <v>980.84172225591271</v>
      </c>
    </row>
    <row r="49" spans="1:11" x14ac:dyDescent="0.25">
      <c r="A49" s="9">
        <v>44</v>
      </c>
      <c r="B49" s="10" t="s">
        <v>93</v>
      </c>
      <c r="C49" s="11" t="s">
        <v>43</v>
      </c>
      <c r="D49" s="9">
        <v>2</v>
      </c>
      <c r="E49" s="9">
        <v>259</v>
      </c>
      <c r="F49" s="9">
        <v>67</v>
      </c>
      <c r="G49" s="12">
        <f>IF(E49=0,0,F49/E49)</f>
        <v>0.25868725868725867</v>
      </c>
      <c r="H49" s="13">
        <v>37502</v>
      </c>
      <c r="I49" s="13">
        <v>243031</v>
      </c>
      <c r="J49" s="13">
        <f>IF(E49=0,0,H49/E49)</f>
        <v>144.79536679536679</v>
      </c>
      <c r="K49" s="13">
        <f>IF(E49=0,0,I49/E49)</f>
        <v>938.34362934362935</v>
      </c>
    </row>
    <row r="50" spans="1:11" x14ac:dyDescent="0.25">
      <c r="A50" s="9">
        <v>48</v>
      </c>
      <c r="B50" s="10" t="s">
        <v>94</v>
      </c>
      <c r="C50" s="11" t="s">
        <v>41</v>
      </c>
      <c r="D50" s="9">
        <v>2</v>
      </c>
      <c r="E50" s="9">
        <v>62</v>
      </c>
      <c r="F50" s="9">
        <v>13</v>
      </c>
      <c r="G50" s="12">
        <f>IF(E50=0,0,F50/E50)</f>
        <v>0.20967741935483872</v>
      </c>
      <c r="H50" s="13">
        <v>5954</v>
      </c>
      <c r="I50" s="13">
        <v>63504</v>
      </c>
      <c r="J50" s="13">
        <f>IF(E50=0,0,H50/E50)</f>
        <v>96.032258064516128</v>
      </c>
      <c r="K50" s="13">
        <f>IF(E50=0,0,I50/E50)</f>
        <v>1024.258064516129</v>
      </c>
    </row>
    <row r="51" spans="1:11" x14ac:dyDescent="0.25">
      <c r="A51" s="9">
        <v>50</v>
      </c>
      <c r="B51" s="10" t="s">
        <v>91</v>
      </c>
      <c r="C51" s="11" t="s">
        <v>54</v>
      </c>
      <c r="D51" s="9">
        <v>3</v>
      </c>
      <c r="E51" s="9">
        <v>16</v>
      </c>
      <c r="F51" s="9">
        <v>3</v>
      </c>
      <c r="G51" s="12">
        <f>IF(E51=0,0,F51/E51)</f>
        <v>0.1875</v>
      </c>
      <c r="H51" s="13">
        <v>31884</v>
      </c>
      <c r="I51" s="13">
        <v>46241</v>
      </c>
      <c r="J51" s="13">
        <f>IF(E51=0,0,H51/E51)</f>
        <v>1992.75</v>
      </c>
      <c r="K51" s="13">
        <f>IF(E51=0,0,I51/E51)</f>
        <v>2890.0625</v>
      </c>
    </row>
    <row r="52" spans="1:11" x14ac:dyDescent="0.25">
      <c r="A52" s="9">
        <v>45</v>
      </c>
      <c r="B52" s="10" t="s">
        <v>89</v>
      </c>
      <c r="C52" s="11" t="s">
        <v>41</v>
      </c>
      <c r="D52" s="9">
        <v>3</v>
      </c>
      <c r="E52" s="9">
        <v>232</v>
      </c>
      <c r="F52" s="9">
        <v>40</v>
      </c>
      <c r="G52" s="12">
        <f>IF(E52=0,0,F52/E52)</f>
        <v>0.17241379310344829</v>
      </c>
      <c r="H52" s="13">
        <v>37419</v>
      </c>
      <c r="I52" s="13">
        <v>197802</v>
      </c>
      <c r="J52" s="13">
        <f>IF(E52=0,0,H52/E52)</f>
        <v>161.28879310344828</v>
      </c>
      <c r="K52" s="13">
        <f>IF(E52=0,0,I52/E52)</f>
        <v>852.59482758620686</v>
      </c>
    </row>
    <row r="53" spans="1:11" x14ac:dyDescent="0.25">
      <c r="A53" s="9">
        <v>51</v>
      </c>
      <c r="B53" s="10" t="s">
        <v>95</v>
      </c>
      <c r="C53" s="11" t="s">
        <v>54</v>
      </c>
      <c r="D53" s="9">
        <v>2</v>
      </c>
      <c r="E53" s="9">
        <v>2</v>
      </c>
      <c r="F53" s="9">
        <v>0</v>
      </c>
      <c r="G53" s="12">
        <f>IF(E53=0,0,F53/E53)</f>
        <v>0</v>
      </c>
      <c r="H53" s="13">
        <v>13075</v>
      </c>
      <c r="I53" s="13">
        <v>41562</v>
      </c>
      <c r="J53" s="13">
        <f>IF(E53=0,0,H53/E53)</f>
        <v>6537.5</v>
      </c>
      <c r="K53" s="13">
        <f>IF(E53=0,0,I53/E53)</f>
        <v>20781</v>
      </c>
    </row>
  </sheetData>
  <sortState xmlns:xlrd2="http://schemas.microsoft.com/office/spreadsheetml/2017/richdata2" ref="A2:K53">
    <sortCondition descending="1" ref="G1:G53"/>
  </sortState>
  <conditionalFormatting sqref="E2:E53">
    <cfRule type="colorScale" priority="2">
      <colorScale>
        <cfvo type="num" val="0"/>
        <cfvo type="num" val="1000"/>
        <cfvo type="max"/>
        <color rgb="FFF8696B"/>
        <color rgb="FFFFEB84"/>
        <color rgb="FF63BE7B"/>
      </colorScale>
    </cfRule>
  </conditionalFormatting>
  <conditionalFormatting sqref="G2:G53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J2:J53">
    <cfRule type="colorScale" priority="3">
      <colorScale>
        <cfvo type="min"/>
        <cfvo type="max"/>
        <color rgb="FFFFFF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Card Rankings</vt:lpstr>
      <vt:lpstr>Matchup Matrix</vt:lpstr>
      <vt:lpstr>AI Suit Summary</vt:lpstr>
      <vt:lpstr>AI Card 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Riley Conroy</cp:lastModifiedBy>
  <dcterms:created xsi:type="dcterms:W3CDTF">2026-07-14T16:07:58Z</dcterms:created>
  <dcterms:modified xsi:type="dcterms:W3CDTF">2026-07-14T17:04:30Z</dcterms:modified>
</cp:coreProperties>
</file>